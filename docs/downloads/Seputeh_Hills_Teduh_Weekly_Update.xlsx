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828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MMM-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28" customWidth="1" min="4" max="4"/>
    <col width="12" customWidth="1" min="5" max="5"/>
    <col width="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42" customWidth="1" min="28" max="28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28/08/2026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3" t="n">
        <v>46248</v>
      </c>
      <c r="V3" s="3" t="n">
        <v>46255</v>
      </c>
      <c r="Y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Launched date</t>
        </is>
      </c>
      <c r="F4" s="5" t="inlineStr">
        <is>
          <t>TOTAL 
UNIT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6" t="inlineStr">
        <is>
          <t>NEW SALES</t>
        </is>
      </c>
      <c r="Z4" s="6" t="inlineStr">
        <is>
          <t>TOTAL SOLD</t>
        </is>
      </c>
      <c r="AA4" s="6" t="inlineStr">
        <is>
          <t>%</t>
        </is>
      </c>
      <c r="AB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45839</v>
      </c>
      <c r="F5" s="10" t="n">
        <v>146</v>
      </c>
      <c r="G5" s="10" t="n">
        <v>3</v>
      </c>
      <c r="H5" s="10" t="n">
        <v>30</v>
      </c>
      <c r="I5" s="11">
        <f>H5/$F$5</f>
        <v/>
      </c>
      <c r="J5" s="10">
        <f>K5-H5</f>
        <v/>
      </c>
      <c r="K5" s="10" t="n">
        <v>34</v>
      </c>
      <c r="L5" s="11">
        <f>K5/$F$5</f>
        <v/>
      </c>
      <c r="M5" s="10">
        <f>N5-K5</f>
        <v/>
      </c>
      <c r="N5" s="10" t="n">
        <v>40</v>
      </c>
      <c r="O5" s="11">
        <f>N5/$F$5</f>
        <v/>
      </c>
      <c r="P5" s="10">
        <f>Q5-N5</f>
        <v/>
      </c>
      <c r="Q5" s="10" t="n">
        <v>41</v>
      </c>
      <c r="R5" s="11">
        <f>Q5/$F$5</f>
        <v/>
      </c>
      <c r="S5" s="10">
        <f>T5-Q5</f>
        <v/>
      </c>
      <c r="T5" s="10" t="n">
        <v>43</v>
      </c>
      <c r="U5" s="11">
        <f>T5/$F$5</f>
        <v/>
      </c>
      <c r="V5" s="10">
        <f>W5-T5</f>
        <v/>
      </c>
      <c r="W5" s="10" t="n">
        <v>43</v>
      </c>
      <c r="X5" s="11">
        <f>W5/$F$5</f>
        <v/>
      </c>
      <c r="Y5" s="12">
        <f>Z5-W5</f>
        <v/>
      </c>
      <c r="Z5" s="12" t="n">
        <v>43</v>
      </c>
      <c r="AA5" s="13">
        <f>Z5/$F$5</f>
        <v/>
      </c>
      <c r="AB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45931</v>
      </c>
      <c r="F6" s="10" t="n">
        <v>154</v>
      </c>
      <c r="G6" s="10" t="n">
        <v>1</v>
      </c>
      <c r="H6" s="10" t="n">
        <v>32</v>
      </c>
      <c r="I6" s="11">
        <f>H6/$F$6</f>
        <v/>
      </c>
      <c r="J6" s="10">
        <f>K6-H6</f>
        <v/>
      </c>
      <c r="K6" s="10" t="n">
        <v>33</v>
      </c>
      <c r="L6" s="11">
        <f>K6/$F$6</f>
        <v/>
      </c>
      <c r="M6" s="10">
        <f>N6-K6</f>
        <v/>
      </c>
      <c r="N6" s="10" t="n">
        <v>33</v>
      </c>
      <c r="O6" s="11">
        <f>N6/$F$6</f>
        <v/>
      </c>
      <c r="P6" s="10">
        <f>Q6-N6</f>
        <v/>
      </c>
      <c r="Q6" s="10" t="n">
        <v>33</v>
      </c>
      <c r="R6" s="11">
        <f>Q6/$F$6</f>
        <v/>
      </c>
      <c r="S6" s="10">
        <f>T6-Q6</f>
        <v/>
      </c>
      <c r="T6" s="10" t="n">
        <v>33</v>
      </c>
      <c r="U6" s="11">
        <f>T6/$F$6</f>
        <v/>
      </c>
      <c r="V6" s="10">
        <f>W6-T6</f>
        <v/>
      </c>
      <c r="W6" s="10" t="n">
        <v>35</v>
      </c>
      <c r="X6" s="11">
        <f>W6/$F$6</f>
        <v/>
      </c>
      <c r="Y6" s="12">
        <f>Z6-W6</f>
        <v/>
      </c>
      <c r="Z6" s="12" t="n">
        <v>36</v>
      </c>
      <c r="AA6" s="13">
        <f>Z6/$F$6</f>
        <v/>
      </c>
      <c r="AB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46023</v>
      </c>
      <c r="F7" s="10" t="n">
        <v>490</v>
      </c>
      <c r="G7" s="10" t="n">
        <v>6</v>
      </c>
      <c r="H7" s="10" t="n">
        <v>29</v>
      </c>
      <c r="I7" s="11">
        <f>H7/$F$7</f>
        <v/>
      </c>
      <c r="J7" s="10">
        <f>K7-H7</f>
        <v/>
      </c>
      <c r="K7" s="10" t="n">
        <v>31</v>
      </c>
      <c r="L7" s="11">
        <f>K7/$F$7</f>
        <v/>
      </c>
      <c r="M7" s="10">
        <f>N7-K7</f>
        <v/>
      </c>
      <c r="N7" s="10" t="n">
        <v>37</v>
      </c>
      <c r="O7" s="11">
        <f>N7/$F$7</f>
        <v/>
      </c>
      <c r="P7" s="10">
        <f>Q7-N7</f>
        <v/>
      </c>
      <c r="Q7" s="10" t="n">
        <v>42</v>
      </c>
      <c r="R7" s="11">
        <f>Q7/$F$7</f>
        <v/>
      </c>
      <c r="S7" s="10">
        <f>T7-Q7</f>
        <v/>
      </c>
      <c r="T7" s="10" t="n">
        <v>45</v>
      </c>
      <c r="U7" s="11">
        <f>T7/$F$7</f>
        <v/>
      </c>
      <c r="V7" s="10">
        <f>W7-T7</f>
        <v/>
      </c>
      <c r="W7" s="10" t="n">
        <v>48</v>
      </c>
      <c r="X7" s="11">
        <f>W7/$F$7</f>
        <v/>
      </c>
      <c r="Y7" s="12">
        <f>Z7-W7</f>
        <v/>
      </c>
      <c r="Z7" s="12" t="n">
        <v>49</v>
      </c>
      <c r="AA7" s="13">
        <f>Z7/$F$7</f>
        <v/>
      </c>
      <c r="AB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45992</v>
      </c>
      <c r="F8" s="10" t="n">
        <v>48</v>
      </c>
      <c r="G8" s="10" t="n">
        <v>0</v>
      </c>
      <c r="H8" s="10" t="n">
        <v>45</v>
      </c>
      <c r="I8" s="11">
        <f>H8/$F$8</f>
        <v/>
      </c>
      <c r="J8" s="10">
        <f>K8-H8</f>
        <v/>
      </c>
      <c r="K8" s="10" t="n">
        <v>45</v>
      </c>
      <c r="L8" s="11">
        <f>K8/$F$8</f>
        <v/>
      </c>
      <c r="M8" s="10">
        <f>N8-K8</f>
        <v/>
      </c>
      <c r="N8" s="10" t="n">
        <v>45</v>
      </c>
      <c r="O8" s="11">
        <f>N8/$F$8</f>
        <v/>
      </c>
      <c r="P8" s="10">
        <f>Q8-N8</f>
        <v/>
      </c>
      <c r="Q8" s="10" t="n">
        <v>45</v>
      </c>
      <c r="R8" s="11">
        <f>Q8/$F$8</f>
        <v/>
      </c>
      <c r="S8" s="10">
        <f>T8-Q8</f>
        <v/>
      </c>
      <c r="T8" s="10" t="n">
        <v>45</v>
      </c>
      <c r="U8" s="11">
        <f>T8/$F$8</f>
        <v/>
      </c>
      <c r="V8" s="10">
        <f>W8-T8</f>
        <v/>
      </c>
      <c r="W8" s="10" t="n">
        <v>45</v>
      </c>
      <c r="X8" s="11">
        <f>W8/$F$8</f>
        <v/>
      </c>
      <c r="Y8" s="12">
        <f>Z8-W8</f>
        <v/>
      </c>
      <c r="Z8" s="12" t="n">
        <v>45</v>
      </c>
      <c r="AA8" s="13">
        <f>Z8/$F$8</f>
        <v/>
      </c>
      <c r="AB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46113</v>
      </c>
      <c r="F9" s="10" t="n">
        <v>244</v>
      </c>
      <c r="G9" s="10" t="n">
        <v>0</v>
      </c>
      <c r="H9" s="10" t="n">
        <v>0</v>
      </c>
      <c r="I9" s="11">
        <f>H9/$F$9</f>
        <v/>
      </c>
      <c r="J9" s="10">
        <f>K9-H9</f>
        <v/>
      </c>
      <c r="K9" s="10" t="n">
        <v>0</v>
      </c>
      <c r="L9" s="11">
        <f>K9/$F$9</f>
        <v/>
      </c>
      <c r="M9" s="10">
        <f>N9-K9</f>
        <v/>
      </c>
      <c r="N9" s="10" t="n">
        <v>1</v>
      </c>
      <c r="O9" s="11">
        <f>N9/$F$9</f>
        <v/>
      </c>
      <c r="P9" s="10">
        <f>Q9-N9</f>
        <v/>
      </c>
      <c r="Q9" s="10" t="n">
        <v>1</v>
      </c>
      <c r="R9" s="11">
        <f>Q9/$F$9</f>
        <v/>
      </c>
      <c r="S9" s="10">
        <f>T9-Q9</f>
        <v/>
      </c>
      <c r="T9" s="10" t="n">
        <v>1</v>
      </c>
      <c r="U9" s="11">
        <f>T9/$F$9</f>
        <v/>
      </c>
      <c r="V9" s="10">
        <f>W9-T9</f>
        <v/>
      </c>
      <c r="W9" s="10" t="n">
        <v>1</v>
      </c>
      <c r="X9" s="11">
        <f>W9/$F$9</f>
        <v/>
      </c>
      <c r="Y9" s="12">
        <f>Z9-W9</f>
        <v/>
      </c>
      <c r="Z9" s="12" t="n">
        <v>1</v>
      </c>
      <c r="AA9" s="13">
        <f>Z9/$F$9</f>
        <v/>
      </c>
      <c r="AB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46229</v>
      </c>
      <c r="F10" s="10" t="n">
        <v>433</v>
      </c>
      <c r="G10" s="10" t="n"/>
      <c r="H10" s="10" t="n"/>
      <c r="I10" s="11" t="n"/>
      <c r="J10" s="10" t="n"/>
      <c r="K10" s="10" t="n">
        <v>32</v>
      </c>
      <c r="L10" s="11">
        <f>K10/$F$10</f>
        <v/>
      </c>
      <c r="M10" s="10">
        <f>N10-K10</f>
        <v/>
      </c>
      <c r="N10" s="10" t="n">
        <v>214</v>
      </c>
      <c r="O10" s="11">
        <f>N10/$F$10</f>
        <v/>
      </c>
      <c r="P10" s="10">
        <f>Q10-N10</f>
        <v/>
      </c>
      <c r="Q10" s="10" t="n">
        <v>262</v>
      </c>
      <c r="R10" s="11">
        <f>Q10/$F$10</f>
        <v/>
      </c>
      <c r="S10" s="10">
        <f>T10-Q10</f>
        <v/>
      </c>
      <c r="T10" s="10" t="n">
        <v>306</v>
      </c>
      <c r="U10" s="11">
        <f>T10/$F$10</f>
        <v/>
      </c>
      <c r="V10" s="10">
        <f>W10-T10</f>
        <v/>
      </c>
      <c r="W10" s="10" t="n">
        <v>335</v>
      </c>
      <c r="X10" s="11">
        <f>W10/$F$10</f>
        <v/>
      </c>
      <c r="Y10" s="12">
        <f>Z10-W10</f>
        <v/>
      </c>
      <c r="Z10" s="12" t="n">
        <v>349</v>
      </c>
      <c r="AA10" s="13">
        <f>Z10/$F$10</f>
        <v/>
      </c>
      <c r="AB10" s="8" t="inlineStr">
        <is>
          <t>Big unit (2,842 to 10,613 sq ft)</t>
        </is>
      </c>
    </row>
    <row r="11">
      <c r="A11" s="7" t="n">
        <v>7</v>
      </c>
      <c r="B11" s="8" t="inlineStr">
        <is>
          <t>MAIA</t>
        </is>
      </c>
      <c r="C11" s="7" t="inlineStr">
        <is>
          <t>30141-2</t>
        </is>
      </c>
      <c r="D11" s="8" t="inlineStr">
        <is>
          <t>UEM Sunrise (Laser Tower S/B)</t>
        </is>
      </c>
      <c r="E11" s="9" t="n"/>
      <c r="F11" s="10" t="n">
        <v>495</v>
      </c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0" t="n"/>
      <c r="T11" s="10" t="n"/>
      <c r="U11" s="11" t="n"/>
      <c r="V11" s="10" t="n"/>
      <c r="W11" s="10" t="n">
        <v>0</v>
      </c>
      <c r="X11" s="11">
        <f>W11/$F$11</f>
        <v/>
      </c>
      <c r="Y11" s="12">
        <f>Z11-W11</f>
        <v/>
      </c>
      <c r="Z11" s="12" t="n">
        <v>1</v>
      </c>
      <c r="AA11" s="13">
        <f>Z11/$F$11</f>
        <v/>
      </c>
      <c r="AB11" s="8" t="inlineStr">
        <is>
          <t>Not yet launched</t>
        </is>
      </c>
    </row>
  </sheetData>
  <mergeCells count="7">
    <mergeCell ref="Y3:AA3"/>
    <mergeCell ref="M3:O3"/>
    <mergeCell ref="S3:U3"/>
    <mergeCell ref="G3:I3"/>
    <mergeCell ref="V3:X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2026-08-28T23:20:02Z</dcterms:created>
  <dcterms:modified xsi:type="dcterms:W3CDTF">2026-08-28T23:20:02Z</dcterms:modified>
</cp:coreProperties>
</file>