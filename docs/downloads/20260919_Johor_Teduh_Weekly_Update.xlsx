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909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V21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22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46" customWidth="1" min="48" max="48"/>
  </cols>
  <sheetData>
    <row r="2">
      <c r="A2" s="1" t="inlineStr">
        <is>
          <t>Report as at 19/09/2026</t>
        </is>
      </c>
    </row>
    <row r="3">
      <c r="A3" s="2" t="inlineStr">
        <is>
          <t>WEEKLY TEDUH SALES REPORT (JB PROJECTS)</t>
        </is>
      </c>
      <c r="F3" s="3" t="n">
        <v>46192</v>
      </c>
      <c r="I3" s="3" t="n">
        <v>46199</v>
      </c>
      <c r="L3" s="3" t="n">
        <v>46206</v>
      </c>
      <c r="O3" s="3" t="n">
        <v>46213</v>
      </c>
      <c r="R3" s="3" t="n">
        <v>46220</v>
      </c>
      <c r="U3" s="3" t="n">
        <v>46227</v>
      </c>
      <c r="X3" s="3" t="n">
        <v>46234</v>
      </c>
      <c r="AA3" s="3" t="n">
        <v>46241</v>
      </c>
      <c r="AD3" s="3" t="n">
        <v>46248</v>
      </c>
      <c r="AG3" s="3" t="n">
        <v>46255</v>
      </c>
      <c r="AJ3" s="3" t="n">
        <v>46262</v>
      </c>
      <c r="AM3" s="3" t="n">
        <v>46269</v>
      </c>
      <c r="AP3" s="3" t="n">
        <v>46276</v>
      </c>
      <c r="AS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DEVELOPER</t>
        </is>
      </c>
      <c r="F4" s="5" t="inlineStr">
        <is>
          <t>NEW SALES</t>
        </is>
      </c>
      <c r="G4" s="5" t="inlineStr">
        <is>
          <t>TOTAL SOLD</t>
        </is>
      </c>
      <c r="H4" s="5" t="inlineStr">
        <is>
          <t>TOTAL 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TOTAL 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TOTAL 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TOTAL 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TOTAL 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TOTAL 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TOTAL 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TOTAL 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TOTAL 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TOTAL 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TOTAL 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TOTAL 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TOTAL %</t>
        </is>
      </c>
      <c r="AS4" s="6" t="inlineStr">
        <is>
          <t>NEW SALES</t>
        </is>
      </c>
      <c r="AT4" s="6" t="inlineStr">
        <is>
          <t>TOTAL SOLD</t>
        </is>
      </c>
      <c r="AU4" s="6" t="inlineStr">
        <is>
          <t>TOTAL %</t>
        </is>
      </c>
      <c r="AV4" s="5" t="inlineStr">
        <is>
          <t>NOTES</t>
        </is>
      </c>
    </row>
    <row r="5">
      <c r="A5" s="7" t="inlineStr">
        <is>
          <t>Permas Jaya</t>
        </is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</row>
    <row r="6">
      <c r="A6" s="9" t="n">
        <v>1</v>
      </c>
      <c r="B6" s="10" t="inlineStr">
        <is>
          <t>The Straits View Duo</t>
        </is>
      </c>
      <c r="C6" s="11" t="n">
        <v>45926</v>
      </c>
      <c r="D6" s="12" t="n">
        <v>715</v>
      </c>
      <c r="E6" s="10" t="inlineStr">
        <is>
          <t>BRDB</t>
        </is>
      </c>
      <c r="F6" s="12" t="n"/>
      <c r="G6" s="12" t="n">
        <v>275</v>
      </c>
      <c r="H6" s="13">
        <f>G6/$D$6</f>
        <v/>
      </c>
      <c r="I6" s="12">
        <f>J6-G6</f>
        <v/>
      </c>
      <c r="J6" s="12" t="n">
        <v>286</v>
      </c>
      <c r="K6" s="13">
        <f>J6/$D$6</f>
        <v/>
      </c>
      <c r="L6" s="12">
        <f>M6-J6</f>
        <v/>
      </c>
      <c r="M6" s="12" t="n">
        <v>283</v>
      </c>
      <c r="N6" s="13">
        <f>M6/$D$6</f>
        <v/>
      </c>
      <c r="O6" s="12">
        <f>P6-M6</f>
        <v/>
      </c>
      <c r="P6" s="12" t="n">
        <v>285</v>
      </c>
      <c r="Q6" s="13">
        <f>P6/$D$6</f>
        <v/>
      </c>
      <c r="R6" s="12">
        <f>S6-P6</f>
        <v/>
      </c>
      <c r="S6" s="12" t="n">
        <v>283</v>
      </c>
      <c r="T6" s="13">
        <f>S6/$D$6</f>
        <v/>
      </c>
      <c r="U6" s="12">
        <f>V6-S6</f>
        <v/>
      </c>
      <c r="V6" s="12" t="n">
        <v>285</v>
      </c>
      <c r="W6" s="13">
        <f>V6/$D$6</f>
        <v/>
      </c>
      <c r="X6" s="12">
        <f>Y6-V6</f>
        <v/>
      </c>
      <c r="Y6" s="12" t="n">
        <v>291</v>
      </c>
      <c r="Z6" s="13">
        <f>Y6/$D$6</f>
        <v/>
      </c>
      <c r="AA6" s="12">
        <f>AB6-Y6</f>
        <v/>
      </c>
      <c r="AB6" s="12" t="n">
        <v>293</v>
      </c>
      <c r="AC6" s="13">
        <f>AB6/$D$6</f>
        <v/>
      </c>
      <c r="AD6" s="12">
        <f>AE6-AB6</f>
        <v/>
      </c>
      <c r="AE6" s="12" t="n">
        <v>297</v>
      </c>
      <c r="AF6" s="13">
        <f>AE6/$D$6</f>
        <v/>
      </c>
      <c r="AG6" s="12">
        <f>AH6-AE6</f>
        <v/>
      </c>
      <c r="AH6" s="12" t="n">
        <v>302</v>
      </c>
      <c r="AI6" s="13">
        <f>AH6/$D$6</f>
        <v/>
      </c>
      <c r="AJ6" s="12">
        <f>AK6-AH6</f>
        <v/>
      </c>
      <c r="AK6" s="12" t="n">
        <v>307</v>
      </c>
      <c r="AL6" s="13">
        <f>AK6/$D$6</f>
        <v/>
      </c>
      <c r="AM6" s="12">
        <f>AN6-AK6</f>
        <v/>
      </c>
      <c r="AN6" s="12" t="n">
        <v>310</v>
      </c>
      <c r="AO6" s="13">
        <f>AN6/$D$6</f>
        <v/>
      </c>
      <c r="AP6" s="12">
        <f>AQ6-AN6</f>
        <v/>
      </c>
      <c r="AQ6" s="12" t="n">
        <v>314</v>
      </c>
      <c r="AR6" s="13">
        <f>AQ6/$D$6</f>
        <v/>
      </c>
      <c r="AS6" s="14">
        <f>AT6-AQ6</f>
        <v/>
      </c>
      <c r="AT6" s="14" t="n">
        <v>317</v>
      </c>
      <c r="AU6" s="15">
        <f>AT6/$D$6</f>
        <v/>
      </c>
      <c r="AV6" s="10" t="inlineStr">
        <is>
          <t>Latest sales - Block A: 194 units, Block B: 123 units</t>
        </is>
      </c>
    </row>
    <row r="7">
      <c r="A7" s="9" t="n">
        <v>2</v>
      </c>
      <c r="B7" s="10" t="inlineStr">
        <is>
          <t>Permas Heights</t>
        </is>
      </c>
      <c r="C7" s="11" t="n">
        <v>45708</v>
      </c>
      <c r="D7" s="12" t="n">
        <v>1950</v>
      </c>
      <c r="E7" s="10" t="inlineStr">
        <is>
          <t>MB World</t>
        </is>
      </c>
      <c r="F7" s="12" t="n"/>
      <c r="G7" s="12" t="n">
        <v>842</v>
      </c>
      <c r="H7" s="13">
        <f>G7/$D$7</f>
        <v/>
      </c>
      <c r="I7" s="12">
        <f>J7-G7</f>
        <v/>
      </c>
      <c r="J7" s="12" t="n">
        <v>843</v>
      </c>
      <c r="K7" s="13">
        <f>J7/$D$7</f>
        <v/>
      </c>
      <c r="L7" s="12">
        <f>M7-J7</f>
        <v/>
      </c>
      <c r="M7" s="12" t="n">
        <v>853</v>
      </c>
      <c r="N7" s="13">
        <f>M7/$D$7</f>
        <v/>
      </c>
      <c r="O7" s="12">
        <f>P7-M7</f>
        <v/>
      </c>
      <c r="P7" s="12" t="n">
        <v>901</v>
      </c>
      <c r="Q7" s="13">
        <f>P7/$D$7</f>
        <v/>
      </c>
      <c r="R7" s="12">
        <f>S7-P7</f>
        <v/>
      </c>
      <c r="S7" s="12" t="n">
        <v>905</v>
      </c>
      <c r="T7" s="13">
        <f>S7/$D$7</f>
        <v/>
      </c>
      <c r="U7" s="12">
        <f>V7-S7</f>
        <v/>
      </c>
      <c r="V7" s="12" t="n">
        <v>916</v>
      </c>
      <c r="W7" s="13">
        <f>V7/$D$7</f>
        <v/>
      </c>
      <c r="X7" s="12">
        <f>Y7-V7</f>
        <v/>
      </c>
      <c r="Y7" s="12" t="n">
        <v>925</v>
      </c>
      <c r="Z7" s="13">
        <f>Y7/$D$7</f>
        <v/>
      </c>
      <c r="AA7" s="12">
        <f>AB7-Y7</f>
        <v/>
      </c>
      <c r="AB7" s="12" t="n">
        <v>935</v>
      </c>
      <c r="AC7" s="13">
        <f>AB7/$D$7</f>
        <v/>
      </c>
      <c r="AD7" s="12">
        <f>AE7-AB7</f>
        <v/>
      </c>
      <c r="AE7" s="12" t="n">
        <v>942</v>
      </c>
      <c r="AF7" s="13">
        <f>AE7/$D$7</f>
        <v/>
      </c>
      <c r="AG7" s="12">
        <f>AH7-AE7</f>
        <v/>
      </c>
      <c r="AH7" s="12" t="n">
        <v>954</v>
      </c>
      <c r="AI7" s="13">
        <f>AH7/$D$7</f>
        <v/>
      </c>
      <c r="AJ7" s="12">
        <f>AK7-AH7</f>
        <v/>
      </c>
      <c r="AK7" s="12" t="n">
        <v>972</v>
      </c>
      <c r="AL7" s="13">
        <f>AK7/$D$7</f>
        <v/>
      </c>
      <c r="AM7" s="12">
        <f>AN7-AK7</f>
        <v/>
      </c>
      <c r="AN7" s="12" t="n">
        <v>975</v>
      </c>
      <c r="AO7" s="13">
        <f>AN7/$D$7</f>
        <v/>
      </c>
      <c r="AP7" s="12">
        <f>AQ7-AN7</f>
        <v/>
      </c>
      <c r="AQ7" s="12" t="n">
        <v>982</v>
      </c>
      <c r="AR7" s="13">
        <f>AQ7/$D$7</f>
        <v/>
      </c>
      <c r="AS7" s="14">
        <f>AT7-AQ7</f>
        <v/>
      </c>
      <c r="AT7" s="14" t="n">
        <v>993</v>
      </c>
      <c r="AU7" s="15">
        <f>AT7/$D$7</f>
        <v/>
      </c>
      <c r="AV7" s="10" t="inlineStr">
        <is>
          <t>Latest sales - Block A: 409 units, Block B: 386 units, Block C: 89 units, Block D: 109 units</t>
        </is>
      </c>
    </row>
    <row r="8">
      <c r="A8" s="9" t="n">
        <v>3</v>
      </c>
      <c r="B8" s="10" t="inlineStr">
        <is>
          <t>HillView Senibong Cove</t>
        </is>
      </c>
      <c r="C8" s="11" t="n">
        <v>46106</v>
      </c>
      <c r="D8" s="12" t="n">
        <v>1500</v>
      </c>
      <c r="E8" s="10" t="inlineStr">
        <is>
          <t>WM Senibong</t>
        </is>
      </c>
      <c r="F8" s="12" t="n"/>
      <c r="G8" s="12" t="n">
        <v>34</v>
      </c>
      <c r="H8" s="13">
        <f>G8/$D$8</f>
        <v/>
      </c>
      <c r="I8" s="12">
        <f>J8-G8</f>
        <v/>
      </c>
      <c r="J8" s="12" t="n">
        <v>38</v>
      </c>
      <c r="K8" s="13">
        <f>J8/$D$8</f>
        <v/>
      </c>
      <c r="L8" s="12">
        <f>M8-J8</f>
        <v/>
      </c>
      <c r="M8" s="12" t="n">
        <v>39</v>
      </c>
      <c r="N8" s="13">
        <f>M8/$D$8</f>
        <v/>
      </c>
      <c r="O8" s="12">
        <f>P8-M8</f>
        <v/>
      </c>
      <c r="P8" s="12" t="n">
        <v>42</v>
      </c>
      <c r="Q8" s="13">
        <f>P8/$D$8</f>
        <v/>
      </c>
      <c r="R8" s="12">
        <f>S8-P8</f>
        <v/>
      </c>
      <c r="S8" s="12" t="n">
        <v>45</v>
      </c>
      <c r="T8" s="13">
        <f>S8/$D$8</f>
        <v/>
      </c>
      <c r="U8" s="12">
        <f>V8-S8</f>
        <v/>
      </c>
      <c r="V8" s="12" t="n">
        <v>46</v>
      </c>
      <c r="W8" s="13">
        <f>V8/$D$8</f>
        <v/>
      </c>
      <c r="X8" s="12">
        <f>Y8-V8</f>
        <v/>
      </c>
      <c r="Y8" s="12" t="n">
        <v>48</v>
      </c>
      <c r="Z8" s="13">
        <f>Y8/$D$8</f>
        <v/>
      </c>
      <c r="AA8" s="12">
        <f>AB8-Y8</f>
        <v/>
      </c>
      <c r="AB8" s="12" t="n">
        <v>47</v>
      </c>
      <c r="AC8" s="13">
        <f>AB8/$D$8</f>
        <v/>
      </c>
      <c r="AD8" s="12">
        <f>AE8-AB8</f>
        <v/>
      </c>
      <c r="AE8" s="12" t="n">
        <v>47</v>
      </c>
      <c r="AF8" s="13">
        <f>AE8/$D$8</f>
        <v/>
      </c>
      <c r="AG8" s="12">
        <f>AH8-AE8</f>
        <v/>
      </c>
      <c r="AH8" s="12" t="n">
        <v>48</v>
      </c>
      <c r="AI8" s="13">
        <f>AH8/$D$8</f>
        <v/>
      </c>
      <c r="AJ8" s="12">
        <f>AK8-AH8</f>
        <v/>
      </c>
      <c r="AK8" s="12" t="n">
        <v>49</v>
      </c>
      <c r="AL8" s="13">
        <f>AK8/$D$8</f>
        <v/>
      </c>
      <c r="AM8" s="12">
        <f>AN8-AK8</f>
        <v/>
      </c>
      <c r="AN8" s="12" t="n">
        <v>52</v>
      </c>
      <c r="AO8" s="13">
        <f>AN8/$D$8</f>
        <v/>
      </c>
      <c r="AP8" s="12">
        <f>AQ8-AN8</f>
        <v/>
      </c>
      <c r="AQ8" s="12" t="n">
        <v>53</v>
      </c>
      <c r="AR8" s="13">
        <f>AQ8/$D$8</f>
        <v/>
      </c>
      <c r="AS8" s="14">
        <f>AT8-AQ8</f>
        <v/>
      </c>
      <c r="AT8" s="14" t="n">
        <v>53</v>
      </c>
      <c r="AU8" s="15">
        <f>AT8/$D$8</f>
        <v/>
      </c>
      <c r="AV8" s="10" t="inlineStr">
        <is>
          <t>Open sale for Block A (416 units) only; tracked against the full development</t>
        </is>
      </c>
    </row>
    <row r="9">
      <c r="A9" s="9" t="n">
        <v>4</v>
      </c>
      <c r="B9" s="10" t="inlineStr">
        <is>
          <t>Parkland by the River</t>
        </is>
      </c>
      <c r="C9" s="11" t="n">
        <v>45512</v>
      </c>
      <c r="D9" s="12" t="n">
        <v>2156</v>
      </c>
      <c r="E9" s="10" t="inlineStr">
        <is>
          <t>Parkland</t>
        </is>
      </c>
      <c r="F9" s="12" t="n"/>
      <c r="G9" s="12" t="n">
        <v>1010</v>
      </c>
      <c r="H9" s="13">
        <f>G9/$D$9</f>
        <v/>
      </c>
      <c r="I9" s="12">
        <f>J9-G9</f>
        <v/>
      </c>
      <c r="J9" s="12" t="n">
        <v>1012</v>
      </c>
      <c r="K9" s="13">
        <f>J9/$D$9</f>
        <v/>
      </c>
      <c r="L9" s="12">
        <f>M9-J9</f>
        <v/>
      </c>
      <c r="M9" s="12" t="n">
        <v>1018</v>
      </c>
      <c r="N9" s="13">
        <f>M9/$D$9</f>
        <v/>
      </c>
      <c r="O9" s="12">
        <f>P9-M9</f>
        <v/>
      </c>
      <c r="P9" s="12" t="n">
        <v>1033</v>
      </c>
      <c r="Q9" s="13">
        <f>P9/$D$9</f>
        <v/>
      </c>
      <c r="R9" s="12">
        <f>S9-P9</f>
        <v/>
      </c>
      <c r="S9" s="12" t="n">
        <v>1037</v>
      </c>
      <c r="T9" s="13">
        <f>S9/$D$9</f>
        <v/>
      </c>
      <c r="U9" s="12">
        <f>V9-S9</f>
        <v/>
      </c>
      <c r="V9" s="12" t="n">
        <v>1045</v>
      </c>
      <c r="W9" s="13">
        <f>V9/$D$9</f>
        <v/>
      </c>
      <c r="X9" s="12">
        <f>Y9-V9</f>
        <v/>
      </c>
      <c r="Y9" s="12" t="n">
        <v>1050</v>
      </c>
      <c r="Z9" s="13">
        <f>Y9/$D$9</f>
        <v/>
      </c>
      <c r="AA9" s="12">
        <f>AB9-Y9</f>
        <v/>
      </c>
      <c r="AB9" s="12" t="n">
        <v>1051</v>
      </c>
      <c r="AC9" s="13">
        <f>AB9/$D$9</f>
        <v/>
      </c>
      <c r="AD9" s="12">
        <f>AE9-AB9</f>
        <v/>
      </c>
      <c r="AE9" s="12" t="n">
        <v>1052</v>
      </c>
      <c r="AF9" s="13">
        <f>AE9/$D$9</f>
        <v/>
      </c>
      <c r="AG9" s="12">
        <f>AH9-AE9</f>
        <v/>
      </c>
      <c r="AH9" s="12" t="n">
        <v>1058</v>
      </c>
      <c r="AI9" s="13">
        <f>AH9/$D$9</f>
        <v/>
      </c>
      <c r="AJ9" s="12">
        <f>AK9-AH9</f>
        <v/>
      </c>
      <c r="AK9" s="12" t="n">
        <v>1062</v>
      </c>
      <c r="AL9" s="13">
        <f>AK9/$D$9</f>
        <v/>
      </c>
      <c r="AM9" s="12">
        <f>AN9-AK9</f>
        <v/>
      </c>
      <c r="AN9" s="12" t="n">
        <v>1068</v>
      </c>
      <c r="AO9" s="13">
        <f>AN9/$D$9</f>
        <v/>
      </c>
      <c r="AP9" s="12">
        <f>AQ9-AN9</f>
        <v/>
      </c>
      <c r="AQ9" s="12" t="n">
        <v>1072</v>
      </c>
      <c r="AR9" s="13">
        <f>AQ9/$D$9</f>
        <v/>
      </c>
      <c r="AS9" s="14">
        <f>AT9-AQ9</f>
        <v/>
      </c>
      <c r="AT9" s="14" t="n">
        <v>1076</v>
      </c>
      <c r="AU9" s="15">
        <f>AT9/$D$9</f>
        <v/>
      </c>
      <c r="AV9" s="10" t="inlineStr">
        <is>
          <t>Latest sales - Phase 1: 670 units, Phase 2: 406 units</t>
        </is>
      </c>
    </row>
    <row r="10">
      <c r="A10" s="7" t="inlineStr">
        <is>
          <t>JBCC</t>
        </is>
      </c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</row>
    <row r="11">
      <c r="A11" s="9" t="n">
        <v>1</v>
      </c>
      <c r="B11" s="10" t="inlineStr">
        <is>
          <t>The Asteriaz</t>
        </is>
      </c>
      <c r="C11" s="11" t="n">
        <v>45856</v>
      </c>
      <c r="D11" s="12" t="n">
        <v>848</v>
      </c>
      <c r="E11" s="10" t="inlineStr">
        <is>
          <t>Exsim</t>
        </is>
      </c>
      <c r="F11" s="12" t="n"/>
      <c r="G11" s="12" t="n">
        <v>843</v>
      </c>
      <c r="H11" s="13">
        <f>G11/$D$11</f>
        <v/>
      </c>
      <c r="I11" s="12">
        <f>J11-G11</f>
        <v/>
      </c>
      <c r="J11" s="12" t="n">
        <v>843</v>
      </c>
      <c r="K11" s="13">
        <f>J11/$D$11</f>
        <v/>
      </c>
      <c r="L11" s="12">
        <f>M11-J11</f>
        <v/>
      </c>
      <c r="M11" s="12" t="n">
        <v>843</v>
      </c>
      <c r="N11" s="13">
        <f>M11/$D$11</f>
        <v/>
      </c>
      <c r="O11" s="12">
        <f>P11-M11</f>
        <v/>
      </c>
      <c r="P11" s="12" t="n">
        <v>843</v>
      </c>
      <c r="Q11" s="13">
        <f>P11/$D$11</f>
        <v/>
      </c>
      <c r="R11" s="12">
        <f>S11-P11</f>
        <v/>
      </c>
      <c r="S11" s="12" t="n">
        <v>843</v>
      </c>
      <c r="T11" s="13">
        <f>S11/$D$11</f>
        <v/>
      </c>
      <c r="U11" s="12">
        <f>V11-S11</f>
        <v/>
      </c>
      <c r="V11" s="12" t="n">
        <v>845</v>
      </c>
      <c r="W11" s="13">
        <f>V11/$D$11</f>
        <v/>
      </c>
      <c r="X11" s="12">
        <f>Y11-V11</f>
        <v/>
      </c>
      <c r="Y11" s="12" t="n">
        <v>845</v>
      </c>
      <c r="Z11" s="13">
        <f>Y11/$D$11</f>
        <v/>
      </c>
      <c r="AA11" s="12">
        <f>AB11-Y11</f>
        <v/>
      </c>
      <c r="AB11" s="12" t="n">
        <v>845</v>
      </c>
      <c r="AC11" s="13">
        <f>AB11/$D$11</f>
        <v/>
      </c>
      <c r="AD11" s="12">
        <f>AE11-AB11</f>
        <v/>
      </c>
      <c r="AE11" s="12" t="n">
        <v>845</v>
      </c>
      <c r="AF11" s="13">
        <f>AE11/$D$11</f>
        <v/>
      </c>
      <c r="AG11" s="12">
        <f>AH11-AE11</f>
        <v/>
      </c>
      <c r="AH11" s="12" t="n">
        <v>845</v>
      </c>
      <c r="AI11" s="13">
        <f>AH11/$D$11</f>
        <v/>
      </c>
      <c r="AJ11" s="12">
        <f>AK11-AH11</f>
        <v/>
      </c>
      <c r="AK11" s="12" t="n">
        <v>845</v>
      </c>
      <c r="AL11" s="13">
        <f>AK11/$D$11</f>
        <v/>
      </c>
      <c r="AM11" s="12">
        <f>AN11-AK11</f>
        <v/>
      </c>
      <c r="AN11" s="12" t="n">
        <v>845</v>
      </c>
      <c r="AO11" s="13">
        <f>AN11/$D$11</f>
        <v/>
      </c>
      <c r="AP11" s="12">
        <f>AQ11-AN11</f>
        <v/>
      </c>
      <c r="AQ11" s="12" t="n">
        <v>844</v>
      </c>
      <c r="AR11" s="13">
        <f>AQ11/$D$11</f>
        <v/>
      </c>
      <c r="AS11" s="14">
        <f>AT11-AQ11</f>
        <v/>
      </c>
      <c r="AT11" s="14" t="n">
        <v>845</v>
      </c>
      <c r="AU11" s="15">
        <f>AT11/$D$11</f>
        <v/>
      </c>
      <c r="AV11" s="10" t="inlineStr">
        <is>
          <t>-</t>
        </is>
      </c>
    </row>
    <row r="12">
      <c r="A12" s="9" t="n">
        <v>2</v>
      </c>
      <c r="B12" s="10" t="inlineStr">
        <is>
          <t>Causewayz Square</t>
        </is>
      </c>
      <c r="C12" s="11" t="n">
        <v>45966</v>
      </c>
      <c r="D12" s="12" t="n">
        <v>4525</v>
      </c>
      <c r="E12" s="10" t="inlineStr">
        <is>
          <t>Exsim</t>
        </is>
      </c>
      <c r="F12" s="12" t="n"/>
      <c r="G12" s="12" t="n">
        <v>1334</v>
      </c>
      <c r="H12" s="13">
        <f>G12/$D$12</f>
        <v/>
      </c>
      <c r="I12" s="12">
        <f>J12-G12</f>
        <v/>
      </c>
      <c r="J12" s="12" t="n">
        <v>1341</v>
      </c>
      <c r="K12" s="13">
        <f>J12/$D$12</f>
        <v/>
      </c>
      <c r="L12" s="12">
        <f>M12-J12</f>
        <v/>
      </c>
      <c r="M12" s="12" t="n">
        <v>1348</v>
      </c>
      <c r="N12" s="13">
        <f>M12/$D$12</f>
        <v/>
      </c>
      <c r="O12" s="12">
        <f>P12-M12</f>
        <v/>
      </c>
      <c r="P12" s="12" t="n">
        <v>1364</v>
      </c>
      <c r="Q12" s="13">
        <f>P12/$D$12</f>
        <v/>
      </c>
      <c r="R12" s="12">
        <f>S12-P12</f>
        <v/>
      </c>
      <c r="S12" s="12" t="n">
        <v>1372</v>
      </c>
      <c r="T12" s="13">
        <f>S12/$D$12</f>
        <v/>
      </c>
      <c r="U12" s="12">
        <f>V12-S12</f>
        <v/>
      </c>
      <c r="V12" s="12" t="n">
        <v>1391</v>
      </c>
      <c r="W12" s="13">
        <f>V12/$D$12</f>
        <v/>
      </c>
      <c r="X12" s="12">
        <f>Y12-V12</f>
        <v/>
      </c>
      <c r="Y12" s="12" t="n">
        <v>1403</v>
      </c>
      <c r="Z12" s="13">
        <f>Y12/$D$12</f>
        <v/>
      </c>
      <c r="AA12" s="12">
        <f>AB12-Y12</f>
        <v/>
      </c>
      <c r="AB12" s="12" t="n">
        <v>1406</v>
      </c>
      <c r="AC12" s="13">
        <f>AB12/$D$12</f>
        <v/>
      </c>
      <c r="AD12" s="12">
        <f>AE12-AB12</f>
        <v/>
      </c>
      <c r="AE12" s="12" t="n">
        <v>1417</v>
      </c>
      <c r="AF12" s="13">
        <f>AE12/$D$12</f>
        <v/>
      </c>
      <c r="AG12" s="12">
        <f>AH12-AE12</f>
        <v/>
      </c>
      <c r="AH12" s="12" t="n">
        <v>1421</v>
      </c>
      <c r="AI12" s="13">
        <f>AH12/$D$12</f>
        <v/>
      </c>
      <c r="AJ12" s="12">
        <f>AK12-AH12</f>
        <v/>
      </c>
      <c r="AK12" s="12" t="n">
        <v>1497</v>
      </c>
      <c r="AL12" s="13">
        <f>AK12/$D$12</f>
        <v/>
      </c>
      <c r="AM12" s="12">
        <f>AN12-AK12</f>
        <v/>
      </c>
      <c r="AN12" s="12" t="n">
        <v>1503</v>
      </c>
      <c r="AO12" s="13">
        <f>AN12/$D$12</f>
        <v/>
      </c>
      <c r="AP12" s="12">
        <f>AQ12-AN12</f>
        <v/>
      </c>
      <c r="AQ12" s="12" t="n">
        <v>1520</v>
      </c>
      <c r="AR12" s="13">
        <f>AQ12/$D$12</f>
        <v/>
      </c>
      <c r="AS12" s="14">
        <f>AT12-AQ12</f>
        <v/>
      </c>
      <c r="AT12" s="14" t="n">
        <v>1542</v>
      </c>
      <c r="AU12" s="15">
        <f>AT12/$D$12</f>
        <v/>
      </c>
      <c r="AV12" s="10" t="inlineStr">
        <is>
          <t>Open sale for Block A, B &amp; D only. Block C (833 units) is not opened yet. Latest sales - Block A: 520 units, Block B: 535 units, Block D: 487 units</t>
        </is>
      </c>
    </row>
    <row r="13">
      <c r="A13" s="9" t="n">
        <v>3</v>
      </c>
      <c r="B13" s="10" t="inlineStr">
        <is>
          <t>The Address</t>
        </is>
      </c>
      <c r="C13" s="11" t="n">
        <v>45884</v>
      </c>
      <c r="D13" s="12" t="n">
        <v>2743</v>
      </c>
      <c r="E13" s="10" t="inlineStr">
        <is>
          <t>Maxim Global</t>
        </is>
      </c>
      <c r="F13" s="12" t="n"/>
      <c r="G13" s="12" t="n">
        <v>936</v>
      </c>
      <c r="H13" s="13">
        <f>G13/$D$13</f>
        <v/>
      </c>
      <c r="I13" s="12">
        <f>J13-G13</f>
        <v/>
      </c>
      <c r="J13" s="12" t="n">
        <v>943</v>
      </c>
      <c r="K13" s="13">
        <f>J13/$D$13</f>
        <v/>
      </c>
      <c r="L13" s="12">
        <f>M13-J13</f>
        <v/>
      </c>
      <c r="M13" s="12" t="n">
        <v>949</v>
      </c>
      <c r="N13" s="13">
        <f>M13/$D$13</f>
        <v/>
      </c>
      <c r="O13" s="12">
        <f>P13-M13</f>
        <v/>
      </c>
      <c r="P13" s="12" t="n">
        <v>963</v>
      </c>
      <c r="Q13" s="13">
        <f>P13/$D$13</f>
        <v/>
      </c>
      <c r="R13" s="12">
        <f>S13-P13</f>
        <v/>
      </c>
      <c r="S13" s="12" t="n">
        <v>968</v>
      </c>
      <c r="T13" s="13">
        <f>S13/$D$13</f>
        <v/>
      </c>
      <c r="U13" s="12">
        <f>V13-S13</f>
        <v/>
      </c>
      <c r="V13" s="12" t="n">
        <v>976</v>
      </c>
      <c r="W13" s="13">
        <f>V13/$D$13</f>
        <v/>
      </c>
      <c r="X13" s="12">
        <f>Y13-V13</f>
        <v/>
      </c>
      <c r="Y13" s="12" t="n">
        <v>989</v>
      </c>
      <c r="Z13" s="13">
        <f>Y13/$D$13</f>
        <v/>
      </c>
      <c r="AA13" s="12">
        <f>AB13-Y13</f>
        <v/>
      </c>
      <c r="AB13" s="12" t="n">
        <v>990</v>
      </c>
      <c r="AC13" s="13">
        <f>AB13/$D$13</f>
        <v/>
      </c>
      <c r="AD13" s="12">
        <f>AE13-AB13</f>
        <v/>
      </c>
      <c r="AE13" s="12" t="n">
        <v>990</v>
      </c>
      <c r="AF13" s="13">
        <f>AE13/$D$13</f>
        <v/>
      </c>
      <c r="AG13" s="12">
        <f>AH13-AE13</f>
        <v/>
      </c>
      <c r="AH13" s="12" t="n">
        <v>1001</v>
      </c>
      <c r="AI13" s="13">
        <f>AH13/$D$13</f>
        <v/>
      </c>
      <c r="AJ13" s="12">
        <f>AK13-AH13</f>
        <v/>
      </c>
      <c r="AK13" s="12" t="n">
        <v>1006</v>
      </c>
      <c r="AL13" s="13">
        <f>AK13/$D$13</f>
        <v/>
      </c>
      <c r="AM13" s="12">
        <f>AN13-AK13</f>
        <v/>
      </c>
      <c r="AN13" s="12" t="n">
        <v>1011</v>
      </c>
      <c r="AO13" s="13">
        <f>AN13/$D$13</f>
        <v/>
      </c>
      <c r="AP13" s="12">
        <f>AQ13-AN13</f>
        <v/>
      </c>
      <c r="AQ13" s="12" t="n">
        <v>1022</v>
      </c>
      <c r="AR13" s="13">
        <f>AQ13/$D$13</f>
        <v/>
      </c>
      <c r="AS13" s="14">
        <f>AT13-AQ13</f>
        <v/>
      </c>
      <c r="AT13" s="14" t="n">
        <v>1031</v>
      </c>
      <c r="AU13" s="15">
        <f>AT13/$D$13</f>
        <v/>
      </c>
      <c r="AV13" s="10" t="inlineStr">
        <is>
          <t>Latest sales - Block A: 407 units, Block B: 376 units, Block C: 248 units</t>
        </is>
      </c>
    </row>
    <row r="14">
      <c r="A14" s="9" t="n">
        <v>4</v>
      </c>
      <c r="B14" s="10" t="inlineStr">
        <is>
          <t>M Grand Minori</t>
        </is>
      </c>
      <c r="C14" s="11" t="n">
        <v>45898</v>
      </c>
      <c r="D14" s="12" t="n">
        <v>1733</v>
      </c>
      <c r="E14" s="10" t="inlineStr">
        <is>
          <t>Mah Sing</t>
        </is>
      </c>
      <c r="F14" s="12" t="n"/>
      <c r="G14" s="12" t="n">
        <v>610</v>
      </c>
      <c r="H14" s="13">
        <f>G14/$D$14</f>
        <v/>
      </c>
      <c r="I14" s="12">
        <f>J14-G14</f>
        <v/>
      </c>
      <c r="J14" s="12" t="n">
        <v>616</v>
      </c>
      <c r="K14" s="13">
        <f>J14/$D$14</f>
        <v/>
      </c>
      <c r="L14" s="12">
        <f>M14-J14</f>
        <v/>
      </c>
      <c r="M14" s="12" t="n">
        <v>637</v>
      </c>
      <c r="N14" s="13">
        <f>M14/$D$14</f>
        <v/>
      </c>
      <c r="O14" s="12">
        <f>P14-M14</f>
        <v/>
      </c>
      <c r="P14" s="12" t="n">
        <v>665</v>
      </c>
      <c r="Q14" s="13">
        <f>P14/$D$14</f>
        <v/>
      </c>
      <c r="R14" s="12">
        <f>S14-P14</f>
        <v/>
      </c>
      <c r="S14" s="12" t="n">
        <v>676</v>
      </c>
      <c r="T14" s="13">
        <f>S14/$D$14</f>
        <v/>
      </c>
      <c r="U14" s="12">
        <f>V14-S14</f>
        <v/>
      </c>
      <c r="V14" s="12" t="n">
        <v>692</v>
      </c>
      <c r="W14" s="13">
        <f>V14/$D$14</f>
        <v/>
      </c>
      <c r="X14" s="12">
        <f>Y14-V14</f>
        <v/>
      </c>
      <c r="Y14" s="12" t="n">
        <v>714</v>
      </c>
      <c r="Z14" s="13">
        <f>Y14/$D$14</f>
        <v/>
      </c>
      <c r="AA14" s="12">
        <f>AB14-Y14</f>
        <v/>
      </c>
      <c r="AB14" s="12" t="n">
        <v>724</v>
      </c>
      <c r="AC14" s="13">
        <f>AB14/$D$14</f>
        <v/>
      </c>
      <c r="AD14" s="12">
        <f>AE14-AB14</f>
        <v/>
      </c>
      <c r="AE14" s="12" t="n">
        <v>731</v>
      </c>
      <c r="AF14" s="13">
        <f>AE14/$D$14</f>
        <v/>
      </c>
      <c r="AG14" s="12">
        <f>AH14-AE14</f>
        <v/>
      </c>
      <c r="AH14" s="12" t="n">
        <v>741</v>
      </c>
      <c r="AI14" s="13">
        <f>AH14/$D$14</f>
        <v/>
      </c>
      <c r="AJ14" s="12">
        <f>AK14-AH14</f>
        <v/>
      </c>
      <c r="AK14" s="12" t="n">
        <v>756</v>
      </c>
      <c r="AL14" s="13">
        <f>AK14/$D$14</f>
        <v/>
      </c>
      <c r="AM14" s="12">
        <f>AN14-AK14</f>
        <v/>
      </c>
      <c r="AN14" s="12" t="n">
        <v>762</v>
      </c>
      <c r="AO14" s="13">
        <f>AN14/$D$14</f>
        <v/>
      </c>
      <c r="AP14" s="12">
        <f>AQ14-AN14</f>
        <v/>
      </c>
      <c r="AQ14" s="12" t="n">
        <v>773</v>
      </c>
      <c r="AR14" s="13">
        <f>AQ14/$D$14</f>
        <v/>
      </c>
      <c r="AS14" s="14">
        <f>AT14-AQ14</f>
        <v/>
      </c>
      <c r="AT14" s="14" t="n">
        <v>785</v>
      </c>
      <c r="AU14" s="15">
        <f>AT14/$D$14</f>
        <v/>
      </c>
      <c r="AV14" s="10" t="inlineStr">
        <is>
          <t>Latest sales - Block A: 510 units, Block B: 275 units</t>
        </is>
      </c>
    </row>
    <row r="15">
      <c r="A15" s="9" t="n">
        <v>5</v>
      </c>
      <c r="B15" s="10" t="inlineStr">
        <is>
          <t>Skyline One</t>
        </is>
      </c>
      <c r="C15" s="11" t="n">
        <v>45889</v>
      </c>
      <c r="D15" s="12" t="n">
        <v>1623</v>
      </c>
      <c r="E15" s="10" t="inlineStr">
        <is>
          <t>TS Law</t>
        </is>
      </c>
      <c r="F15" s="12" t="n"/>
      <c r="G15" s="12" t="n">
        <v>1351</v>
      </c>
      <c r="H15" s="13">
        <f>G15/$D$15</f>
        <v/>
      </c>
      <c r="I15" s="12">
        <f>J15-G15</f>
        <v/>
      </c>
      <c r="J15" s="12" t="n">
        <v>1354</v>
      </c>
      <c r="K15" s="13">
        <f>J15/$D$15</f>
        <v/>
      </c>
      <c r="L15" s="12">
        <f>M15-J15</f>
        <v/>
      </c>
      <c r="M15" s="12" t="n">
        <v>1356</v>
      </c>
      <c r="N15" s="13">
        <f>M15/$D$15</f>
        <v/>
      </c>
      <c r="O15" s="12">
        <f>P15-M15</f>
        <v/>
      </c>
      <c r="P15" s="12" t="n">
        <v>1372</v>
      </c>
      <c r="Q15" s="13">
        <f>P15/$D$15</f>
        <v/>
      </c>
      <c r="R15" s="12">
        <f>S15-P15</f>
        <v/>
      </c>
      <c r="S15" s="12" t="n">
        <v>1376</v>
      </c>
      <c r="T15" s="13">
        <f>S15/$D$15</f>
        <v/>
      </c>
      <c r="U15" s="12">
        <f>V15-S15</f>
        <v/>
      </c>
      <c r="V15" s="12" t="n">
        <v>1381</v>
      </c>
      <c r="W15" s="13">
        <f>V15/$D$15</f>
        <v/>
      </c>
      <c r="X15" s="12">
        <f>Y15-V15</f>
        <v/>
      </c>
      <c r="Y15" s="12" t="n">
        <v>1387</v>
      </c>
      <c r="Z15" s="13">
        <f>Y15/$D$15</f>
        <v/>
      </c>
      <c r="AA15" s="12">
        <f>AB15-Y15</f>
        <v/>
      </c>
      <c r="AB15" s="12" t="n">
        <v>1389</v>
      </c>
      <c r="AC15" s="13">
        <f>AB15/$D$15</f>
        <v/>
      </c>
      <c r="AD15" s="12">
        <f>AE15-AB15</f>
        <v/>
      </c>
      <c r="AE15" s="12" t="n">
        <v>1391</v>
      </c>
      <c r="AF15" s="13">
        <f>AE15/$D$15</f>
        <v/>
      </c>
      <c r="AG15" s="12">
        <f>AH15-AE15</f>
        <v/>
      </c>
      <c r="AH15" s="12" t="n">
        <v>1394</v>
      </c>
      <c r="AI15" s="13">
        <f>AH15/$D$15</f>
        <v/>
      </c>
      <c r="AJ15" s="12">
        <f>AK15-AH15</f>
        <v/>
      </c>
      <c r="AK15" s="12" t="n">
        <v>1396</v>
      </c>
      <c r="AL15" s="13">
        <f>AK15/$D$15</f>
        <v/>
      </c>
      <c r="AM15" s="12">
        <f>AN15-AK15</f>
        <v/>
      </c>
      <c r="AN15" s="12" t="n">
        <v>1400</v>
      </c>
      <c r="AO15" s="13">
        <f>AN15/$D$15</f>
        <v/>
      </c>
      <c r="AP15" s="12">
        <f>AQ15-AN15</f>
        <v/>
      </c>
      <c r="AQ15" s="12" t="n">
        <v>1401</v>
      </c>
      <c r="AR15" s="13">
        <f>AQ15/$D$15</f>
        <v/>
      </c>
      <c r="AS15" s="14">
        <f>AT15-AQ15</f>
        <v/>
      </c>
      <c r="AT15" s="14" t="n">
        <v>1404</v>
      </c>
      <c r="AU15" s="15">
        <f>AT15/$D$15</f>
        <v/>
      </c>
      <c r="AV15" s="10" t="inlineStr">
        <is>
          <t>Latest sales - Block A: 728 units, Block B: 676 units</t>
        </is>
      </c>
    </row>
    <row r="16">
      <c r="A16" s="9" t="n">
        <v>6</v>
      </c>
      <c r="B16" s="10" t="inlineStr">
        <is>
          <t>Gen Sphere</t>
        </is>
      </c>
      <c r="C16" s="11" t="n">
        <v>45804</v>
      </c>
      <c r="D16" s="12" t="n">
        <v>996</v>
      </c>
      <c r="E16" s="10" t="inlineStr">
        <is>
          <t>Majestic Gen</t>
        </is>
      </c>
      <c r="F16" s="12" t="n"/>
      <c r="G16" s="12" t="n">
        <v>873</v>
      </c>
      <c r="H16" s="13">
        <f>G16/$D$16</f>
        <v/>
      </c>
      <c r="I16" s="12">
        <f>J16-G16</f>
        <v/>
      </c>
      <c r="J16" s="12" t="n">
        <v>877</v>
      </c>
      <c r="K16" s="13">
        <f>J16/$D$16</f>
        <v/>
      </c>
      <c r="L16" s="12">
        <f>M16-J16</f>
        <v/>
      </c>
      <c r="M16" s="12" t="n">
        <v>881</v>
      </c>
      <c r="N16" s="13">
        <f>M16/$D$16</f>
        <v/>
      </c>
      <c r="O16" s="12">
        <f>P16-M16</f>
        <v/>
      </c>
      <c r="P16" s="12" t="n">
        <v>887</v>
      </c>
      <c r="Q16" s="13">
        <f>P16/$D$16</f>
        <v/>
      </c>
      <c r="R16" s="12">
        <f>S16-P16</f>
        <v/>
      </c>
      <c r="S16" s="12" t="n">
        <v>888</v>
      </c>
      <c r="T16" s="13">
        <f>S16/$D$16</f>
        <v/>
      </c>
      <c r="U16" s="12">
        <f>V16-S16</f>
        <v/>
      </c>
      <c r="V16" s="12" t="n">
        <v>890</v>
      </c>
      <c r="W16" s="13">
        <f>V16/$D$16</f>
        <v/>
      </c>
      <c r="X16" s="12">
        <f>Y16-V16</f>
        <v/>
      </c>
      <c r="Y16" s="12" t="n">
        <v>898</v>
      </c>
      <c r="Z16" s="13">
        <f>Y16/$D$16</f>
        <v/>
      </c>
      <c r="AA16" s="12">
        <f>AB16-Y16</f>
        <v/>
      </c>
      <c r="AB16" s="12" t="n">
        <v>898</v>
      </c>
      <c r="AC16" s="13">
        <f>AB16/$D$16</f>
        <v/>
      </c>
      <c r="AD16" s="12">
        <f>AE16-AB16</f>
        <v/>
      </c>
      <c r="AE16" s="12" t="n">
        <v>902</v>
      </c>
      <c r="AF16" s="13">
        <f>AE16/$D$16</f>
        <v/>
      </c>
      <c r="AG16" s="12">
        <f>AH16-AE16</f>
        <v/>
      </c>
      <c r="AH16" s="12" t="n">
        <v>906</v>
      </c>
      <c r="AI16" s="13">
        <f>AH16/$D$16</f>
        <v/>
      </c>
      <c r="AJ16" s="12">
        <f>AK16-AH16</f>
        <v/>
      </c>
      <c r="AK16" s="12" t="n">
        <v>908</v>
      </c>
      <c r="AL16" s="13">
        <f>AK16/$D$16</f>
        <v/>
      </c>
      <c r="AM16" s="12">
        <f>AN16-AK16</f>
        <v/>
      </c>
      <c r="AN16" s="12" t="n">
        <v>908</v>
      </c>
      <c r="AO16" s="13">
        <f>AN16/$D$16</f>
        <v/>
      </c>
      <c r="AP16" s="12">
        <f>AQ16-AN16</f>
        <v/>
      </c>
      <c r="AQ16" s="12" t="n">
        <v>915</v>
      </c>
      <c r="AR16" s="13">
        <f>AQ16/$D$16</f>
        <v/>
      </c>
      <c r="AS16" s="14">
        <f>AT16-AQ16</f>
        <v/>
      </c>
      <c r="AT16" s="14" t="n">
        <v>916</v>
      </c>
      <c r="AU16" s="15">
        <f>AT16/$D$16</f>
        <v/>
      </c>
      <c r="AV16" s="10" t="inlineStr">
        <is>
          <t>-</t>
        </is>
      </c>
    </row>
    <row r="17">
      <c r="A17" s="9" t="n">
        <v>7</v>
      </c>
      <c r="B17" s="10" t="inlineStr">
        <is>
          <t>The Eclipse</t>
        </is>
      </c>
      <c r="C17" s="11" t="n"/>
      <c r="D17" s="12" t="n">
        <v>1116</v>
      </c>
      <c r="E17" s="10" t="inlineStr">
        <is>
          <t>Chin Hin</t>
        </is>
      </c>
      <c r="F17" s="12" t="n"/>
      <c r="G17" s="12" t="n">
        <v>0</v>
      </c>
      <c r="H17" s="13">
        <f>G17/$D$17</f>
        <v/>
      </c>
      <c r="I17" s="12">
        <f>J17-G17</f>
        <v/>
      </c>
      <c r="J17" s="12" t="n">
        <v>0</v>
      </c>
      <c r="K17" s="13">
        <f>J17/$D$17</f>
        <v/>
      </c>
      <c r="L17" s="12">
        <f>M17-J17</f>
        <v/>
      </c>
      <c r="M17" s="12" t="n">
        <v>0</v>
      </c>
      <c r="N17" s="13">
        <f>M17/$D$17</f>
        <v/>
      </c>
      <c r="O17" s="12">
        <f>P17-M17</f>
        <v/>
      </c>
      <c r="P17" s="12" t="n">
        <v>0</v>
      </c>
      <c r="Q17" s="13">
        <f>P17/$D$17</f>
        <v/>
      </c>
      <c r="R17" s="12">
        <f>S17-P17</f>
        <v/>
      </c>
      <c r="S17" s="12" t="n">
        <v>0</v>
      </c>
      <c r="T17" s="13">
        <f>S17/$D$17</f>
        <v/>
      </c>
      <c r="U17" s="12">
        <f>V17-S17</f>
        <v/>
      </c>
      <c r="V17" s="12" t="n">
        <v>0</v>
      </c>
      <c r="W17" s="13">
        <f>V17/$D$17</f>
        <v/>
      </c>
      <c r="X17" s="12">
        <f>Y17-V17</f>
        <v/>
      </c>
      <c r="Y17" s="12" t="n">
        <v>0</v>
      </c>
      <c r="Z17" s="13">
        <f>Y17/$D$17</f>
        <v/>
      </c>
      <c r="AA17" s="12">
        <f>AB17-Y17</f>
        <v/>
      </c>
      <c r="AB17" s="12" t="n">
        <v>0</v>
      </c>
      <c r="AC17" s="13">
        <f>AB17/$D$17</f>
        <v/>
      </c>
      <c r="AD17" s="12" t="n"/>
      <c r="AE17" s="12" t="n"/>
      <c r="AF17" s="13" t="n"/>
      <c r="AG17" s="12" t="n"/>
      <c r="AH17" s="12" t="n"/>
      <c r="AI17" s="13" t="n"/>
      <c r="AJ17" s="12" t="n"/>
      <c r="AK17" s="12" t="n"/>
      <c r="AL17" s="13" t="n"/>
      <c r="AM17" s="12" t="n"/>
      <c r="AN17" s="12" t="n"/>
      <c r="AO17" s="13" t="n"/>
      <c r="AP17" s="12" t="n"/>
      <c r="AQ17" s="12" t="n"/>
      <c r="AR17" s="13" t="n"/>
      <c r="AS17" s="14" t="n"/>
      <c r="AT17" s="14" t="n"/>
      <c r="AU17" s="15" t="n"/>
      <c r="AV17" s="10" t="inlineStr">
        <is>
          <t>*No info on Teduh, Not obtained AP.</t>
        </is>
      </c>
    </row>
    <row r="18">
      <c r="A18" s="9" t="n">
        <v>8</v>
      </c>
      <c r="B18" s="10" t="inlineStr">
        <is>
          <t>Amberwood</t>
        </is>
      </c>
      <c r="C18" s="11" t="n">
        <v>46028</v>
      </c>
      <c r="D18" s="12" t="n">
        <v>824</v>
      </c>
      <c r="E18" s="10" t="inlineStr">
        <is>
          <t>Chin Hin</t>
        </is>
      </c>
      <c r="F18" s="12" t="n"/>
      <c r="G18" s="12" t="n">
        <v>684</v>
      </c>
      <c r="H18" s="13">
        <f>G18/$D$18</f>
        <v/>
      </c>
      <c r="I18" s="12">
        <f>J18-G18</f>
        <v/>
      </c>
      <c r="J18" s="12" t="n">
        <v>682</v>
      </c>
      <c r="K18" s="13">
        <f>J18/$D$18</f>
        <v/>
      </c>
      <c r="L18" s="12">
        <f>M18-J18</f>
        <v/>
      </c>
      <c r="M18" s="12" t="n">
        <v>685</v>
      </c>
      <c r="N18" s="13">
        <f>M18/$D$18</f>
        <v/>
      </c>
      <c r="O18" s="12">
        <f>P18-M18</f>
        <v/>
      </c>
      <c r="P18" s="12" t="n">
        <v>692</v>
      </c>
      <c r="Q18" s="13">
        <f>P18/$D$18</f>
        <v/>
      </c>
      <c r="R18" s="12">
        <f>S18-P18</f>
        <v/>
      </c>
      <c r="S18" s="12" t="n">
        <v>698</v>
      </c>
      <c r="T18" s="13">
        <f>S18/$D$18</f>
        <v/>
      </c>
      <c r="U18" s="12">
        <f>V18-S18</f>
        <v/>
      </c>
      <c r="V18" s="12" t="n">
        <v>700</v>
      </c>
      <c r="W18" s="13">
        <f>V18/$D$18</f>
        <v/>
      </c>
      <c r="X18" s="12">
        <f>Y18-V18</f>
        <v/>
      </c>
      <c r="Y18" s="12" t="n">
        <v>707</v>
      </c>
      <c r="Z18" s="13">
        <f>Y18/$D$18</f>
        <v/>
      </c>
      <c r="AA18" s="12">
        <f>AB18-Y18</f>
        <v/>
      </c>
      <c r="AB18" s="12" t="n">
        <v>710</v>
      </c>
      <c r="AC18" s="13">
        <f>AB18/$D$18</f>
        <v/>
      </c>
      <c r="AD18" s="12">
        <f>AE18-AB18</f>
        <v/>
      </c>
      <c r="AE18" s="12" t="n">
        <v>714</v>
      </c>
      <c r="AF18" s="13">
        <f>AE18/$D$18</f>
        <v/>
      </c>
      <c r="AG18" s="12">
        <f>AH18-AE18</f>
        <v/>
      </c>
      <c r="AH18" s="12" t="n">
        <v>720</v>
      </c>
      <c r="AI18" s="13">
        <f>AH18/$D$18</f>
        <v/>
      </c>
      <c r="AJ18" s="12">
        <f>AK18-AH18</f>
        <v/>
      </c>
      <c r="AK18" s="12" t="n">
        <v>725</v>
      </c>
      <c r="AL18" s="13">
        <f>AK18/$D$18</f>
        <v/>
      </c>
      <c r="AM18" s="12">
        <f>AN18-AK18</f>
        <v/>
      </c>
      <c r="AN18" s="12" t="n">
        <v>727</v>
      </c>
      <c r="AO18" s="13">
        <f>AN18/$D$18</f>
        <v/>
      </c>
      <c r="AP18" s="12">
        <f>AQ18-AN18</f>
        <v/>
      </c>
      <c r="AQ18" s="12" t="n">
        <v>733</v>
      </c>
      <c r="AR18" s="13">
        <f>AQ18/$D$18</f>
        <v/>
      </c>
      <c r="AS18" s="14">
        <f>AT18-AQ18</f>
        <v/>
      </c>
      <c r="AT18" s="14" t="n">
        <v>735</v>
      </c>
      <c r="AU18" s="15">
        <f>AT18/$D$18</f>
        <v/>
      </c>
      <c r="AV18" s="10" t="inlineStr">
        <is>
          <t>Latest sales - Block A: 445 units, Block B: 290 units</t>
        </is>
      </c>
    </row>
    <row r="19">
      <c r="A19" s="9" t="n">
        <v>9</v>
      </c>
      <c r="B19" s="10" t="inlineStr">
        <is>
          <t>Sunway Majestic</t>
        </is>
      </c>
      <c r="C19" s="11" t="n">
        <v>45936</v>
      </c>
      <c r="D19" s="12" t="n">
        <v>1012</v>
      </c>
      <c r="E19" s="10" t="inlineStr">
        <is>
          <t>Sunway/Majestic Gen</t>
        </is>
      </c>
      <c r="F19" s="12" t="n"/>
      <c r="G19" s="12" t="n">
        <v>358</v>
      </c>
      <c r="H19" s="13">
        <f>G19/$D$19</f>
        <v/>
      </c>
      <c r="I19" s="12">
        <f>J19-G19</f>
        <v/>
      </c>
      <c r="J19" s="12" t="n">
        <v>365</v>
      </c>
      <c r="K19" s="13">
        <f>J19/$D$19</f>
        <v/>
      </c>
      <c r="L19" s="12">
        <f>M19-J19</f>
        <v/>
      </c>
      <c r="M19" s="12" t="n">
        <v>365</v>
      </c>
      <c r="N19" s="13">
        <f>M19/$D$19</f>
        <v/>
      </c>
      <c r="O19" s="12">
        <f>P19-M19</f>
        <v/>
      </c>
      <c r="P19" s="12" t="n">
        <v>370</v>
      </c>
      <c r="Q19" s="13">
        <f>P19/$D$19</f>
        <v/>
      </c>
      <c r="R19" s="12">
        <f>S19-P19</f>
        <v/>
      </c>
      <c r="S19" s="12" t="n">
        <v>370</v>
      </c>
      <c r="T19" s="13">
        <f>S19/$D$19</f>
        <v/>
      </c>
      <c r="U19" s="12">
        <f>V19-S19</f>
        <v/>
      </c>
      <c r="V19" s="12" t="n">
        <v>373</v>
      </c>
      <c r="W19" s="13">
        <f>V19/$D$19</f>
        <v/>
      </c>
      <c r="X19" s="12">
        <f>Y19-V19</f>
        <v/>
      </c>
      <c r="Y19" s="12" t="n">
        <v>380</v>
      </c>
      <c r="Z19" s="13">
        <f>Y19/$D$19</f>
        <v/>
      </c>
      <c r="AA19" s="12">
        <f>AB19-Y19</f>
        <v/>
      </c>
      <c r="AB19" s="12" t="n">
        <v>382</v>
      </c>
      <c r="AC19" s="13">
        <f>AB19/$D$19</f>
        <v/>
      </c>
      <c r="AD19" s="12">
        <f>AE19-AB19</f>
        <v/>
      </c>
      <c r="AE19" s="12" t="n">
        <v>385</v>
      </c>
      <c r="AF19" s="13">
        <f>AE19/$D$19</f>
        <v/>
      </c>
      <c r="AG19" s="12">
        <f>AH19-AE19</f>
        <v/>
      </c>
      <c r="AH19" s="12" t="n">
        <v>390</v>
      </c>
      <c r="AI19" s="13">
        <f>AH19/$D$19</f>
        <v/>
      </c>
      <c r="AJ19" s="12">
        <f>AK19-AH19</f>
        <v/>
      </c>
      <c r="AK19" s="12" t="n">
        <v>390</v>
      </c>
      <c r="AL19" s="13">
        <f>AK19/$D$19</f>
        <v/>
      </c>
      <c r="AM19" s="12">
        <f>AN19-AK19</f>
        <v/>
      </c>
      <c r="AN19" s="12" t="n">
        <v>393</v>
      </c>
      <c r="AO19" s="13">
        <f>AN19/$D$19</f>
        <v/>
      </c>
      <c r="AP19" s="12">
        <f>AQ19-AN19</f>
        <v/>
      </c>
      <c r="AQ19" s="12" t="n">
        <v>395</v>
      </c>
      <c r="AR19" s="13">
        <f>AQ19/$D$19</f>
        <v/>
      </c>
      <c r="AS19" s="14">
        <f>AT19-AQ19</f>
        <v/>
      </c>
      <c r="AT19" s="14" t="n">
        <v>397</v>
      </c>
      <c r="AU19" s="15">
        <f>AT19/$D$19</f>
        <v/>
      </c>
      <c r="AV19" s="10" t="inlineStr">
        <is>
          <t>Latest sales - Block A: 299 units, Block B: 98 units</t>
        </is>
      </c>
    </row>
    <row r="20">
      <c r="A20" s="9" t="n">
        <v>10</v>
      </c>
      <c r="B20" s="10" t="inlineStr">
        <is>
          <t>Calia</t>
        </is>
      </c>
      <c r="C20" s="11" t="n">
        <v>46015</v>
      </c>
      <c r="D20" s="12" t="n">
        <v>1274</v>
      </c>
      <c r="E20" s="10" t="inlineStr">
        <is>
          <t>PGB</t>
        </is>
      </c>
      <c r="F20" s="12" t="n"/>
      <c r="G20" s="12" t="n">
        <v>249</v>
      </c>
      <c r="H20" s="13">
        <f>G20/$D$20</f>
        <v/>
      </c>
      <c r="I20" s="12">
        <f>J20-G20</f>
        <v/>
      </c>
      <c r="J20" s="12" t="n">
        <v>251</v>
      </c>
      <c r="K20" s="13">
        <f>J20/$D$20</f>
        <v/>
      </c>
      <c r="L20" s="12">
        <f>M20-J20</f>
        <v/>
      </c>
      <c r="M20" s="12" t="n">
        <v>251</v>
      </c>
      <c r="N20" s="13">
        <f>M20/$D$20</f>
        <v/>
      </c>
      <c r="O20" s="12">
        <f>P20-M20</f>
        <v/>
      </c>
      <c r="P20" s="12" t="n">
        <v>266</v>
      </c>
      <c r="Q20" s="13">
        <f>P20/$D$20</f>
        <v/>
      </c>
      <c r="R20" s="12">
        <f>S20-P20</f>
        <v/>
      </c>
      <c r="S20" s="12" t="n">
        <v>270</v>
      </c>
      <c r="T20" s="13">
        <f>S20/$D$20</f>
        <v/>
      </c>
      <c r="U20" s="12">
        <f>V20-S20</f>
        <v/>
      </c>
      <c r="V20" s="12" t="n">
        <v>275</v>
      </c>
      <c r="W20" s="13">
        <f>V20/$D$20</f>
        <v/>
      </c>
      <c r="X20" s="12">
        <f>Y20-V20</f>
        <v/>
      </c>
      <c r="Y20" s="12" t="n">
        <v>281</v>
      </c>
      <c r="Z20" s="13">
        <f>Y20/$D$20</f>
        <v/>
      </c>
      <c r="AA20" s="12">
        <f>AB20-Y20</f>
        <v/>
      </c>
      <c r="AB20" s="12" t="n">
        <v>284</v>
      </c>
      <c r="AC20" s="13">
        <f>AB20/$D$20</f>
        <v/>
      </c>
      <c r="AD20" s="12">
        <f>AE20-AB20</f>
        <v/>
      </c>
      <c r="AE20" s="12" t="n">
        <v>291</v>
      </c>
      <c r="AF20" s="13">
        <f>AE20/$D$20</f>
        <v/>
      </c>
      <c r="AG20" s="12">
        <f>AH20-AE20</f>
        <v/>
      </c>
      <c r="AH20" s="12" t="n">
        <v>296</v>
      </c>
      <c r="AI20" s="13">
        <f>AH20/$D$20</f>
        <v/>
      </c>
      <c r="AJ20" s="12">
        <f>AK20-AH20</f>
        <v/>
      </c>
      <c r="AK20" s="12" t="n">
        <v>306</v>
      </c>
      <c r="AL20" s="13">
        <f>AK20/$D$20</f>
        <v/>
      </c>
      <c r="AM20" s="12">
        <f>AN20-AK20</f>
        <v/>
      </c>
      <c r="AN20" s="12" t="n">
        <v>314</v>
      </c>
      <c r="AO20" s="13">
        <f>AN20/$D$20</f>
        <v/>
      </c>
      <c r="AP20" s="12">
        <f>AQ20-AN20</f>
        <v/>
      </c>
      <c r="AQ20" s="12" t="n">
        <v>320</v>
      </c>
      <c r="AR20" s="13">
        <f>AQ20/$D$20</f>
        <v/>
      </c>
      <c r="AS20" s="14">
        <f>AT20-AQ20</f>
        <v/>
      </c>
      <c r="AT20" s="14" t="n">
        <v>325</v>
      </c>
      <c r="AU20" s="15">
        <f>AT20/$D$20</f>
        <v/>
      </c>
      <c r="AV20" s="10" t="inlineStr">
        <is>
          <t>Latest sales - Block A: 222 units, Block B: 103 units</t>
        </is>
      </c>
    </row>
    <row r="21">
      <c r="A21" s="9" t="n">
        <v>11</v>
      </c>
      <c r="B21" s="10" t="inlineStr">
        <is>
          <t>Paragon Maplewood</t>
        </is>
      </c>
      <c r="C21" s="11" t="n">
        <v>46260</v>
      </c>
      <c r="D21" s="12" t="n">
        <v>621</v>
      </c>
      <c r="E21" s="10" t="inlineStr">
        <is>
          <t>PGB</t>
        </is>
      </c>
      <c r="F21" s="12" t="n"/>
      <c r="G21" s="12" t="n"/>
      <c r="H21" s="13" t="n"/>
      <c r="I21" s="12" t="n"/>
      <c r="J21" s="12" t="n"/>
      <c r="K21" s="13" t="n"/>
      <c r="L21" s="12" t="n"/>
      <c r="M21" s="12" t="n"/>
      <c r="N21" s="13" t="n"/>
      <c r="O21" s="12" t="n"/>
      <c r="P21" s="12" t="n"/>
      <c r="Q21" s="13" t="n"/>
      <c r="R21" s="12" t="n"/>
      <c r="S21" s="12" t="n"/>
      <c r="T21" s="13" t="n"/>
      <c r="U21" s="12" t="n"/>
      <c r="V21" s="12" t="n"/>
      <c r="W21" s="13" t="n"/>
      <c r="X21" s="12" t="n"/>
      <c r="Y21" s="12" t="n"/>
      <c r="Z21" s="13" t="n"/>
      <c r="AA21" s="12" t="n"/>
      <c r="AB21" s="12" t="n"/>
      <c r="AC21" s="13" t="n"/>
      <c r="AD21" s="12" t="n"/>
      <c r="AE21" s="12" t="n"/>
      <c r="AF21" s="13" t="n"/>
      <c r="AG21" s="12" t="n"/>
      <c r="AH21" s="12" t="n"/>
      <c r="AI21" s="13" t="n"/>
      <c r="AJ21" s="12" t="n"/>
      <c r="AK21" s="12" t="n"/>
      <c r="AL21" s="13" t="n"/>
      <c r="AM21" s="12" t="n"/>
      <c r="AN21" s="12" t="n"/>
      <c r="AO21" s="13" t="n"/>
      <c r="AP21" s="12" t="n"/>
      <c r="AQ21" s="12" t="n">
        <v>0</v>
      </c>
      <c r="AR21" s="13">
        <f>AQ21/$D$21</f>
        <v/>
      </c>
      <c r="AS21" s="14">
        <f>AT21-AQ21</f>
        <v/>
      </c>
      <c r="AT21" s="14" t="n">
        <v>0</v>
      </c>
      <c r="AU21" s="15">
        <f>AT21/$D$21</f>
        <v/>
      </c>
      <c r="AV21" s="10" t="inlineStr"/>
    </row>
  </sheetData>
  <mergeCells count="14">
    <mergeCell ref="R3:T3"/>
    <mergeCell ref="U3:W3"/>
    <mergeCell ref="AD3:AF3"/>
    <mergeCell ref="AP3:AR3"/>
    <mergeCell ref="X3:Z3"/>
    <mergeCell ref="AG3:AI3"/>
    <mergeCell ref="AJ3:AL3"/>
    <mergeCell ref="I3:K3"/>
    <mergeCell ref="F3:H3"/>
    <mergeCell ref="L3:N3"/>
    <mergeCell ref="AA3:AC3"/>
    <mergeCell ref="O3:Q3"/>
    <mergeCell ref="AM3:AO3"/>
    <mergeCell ref="AS3:AU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2026-09-19T08:57:59Z</dcterms:created>
  <dcterms:modified xsi:type="dcterms:W3CDTF">2026-09-19T08:57:59Z</dcterms:modified>
</cp:coreProperties>
</file>