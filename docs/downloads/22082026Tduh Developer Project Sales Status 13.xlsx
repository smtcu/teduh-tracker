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2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C18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30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</cols>
  <sheetData>
    <row r="2">
      <c r="A2" s="1" t="inlineStr">
        <is>
          <t>Report as at 22/08/2026</t>
        </is>
      </c>
    </row>
    <row r="3">
      <c r="A3" s="2" t="inlineStr">
        <is>
          <t xml:space="preserve">TEDUH WEEKLY UPDATE </t>
        </is>
      </c>
      <c r="F3" s="3" t="n">
        <v>46135</v>
      </c>
      <c r="H3" s="3" t="n">
        <v>46142</v>
      </c>
      <c r="K3" s="3" t="n">
        <v>46149</v>
      </c>
      <c r="N3" s="3" t="n">
        <v>46156</v>
      </c>
      <c r="Q3" s="3" t="n">
        <v>46163</v>
      </c>
      <c r="T3" s="3" t="n">
        <v>46170</v>
      </c>
      <c r="W3" s="3" t="n">
        <v>46170</v>
      </c>
      <c r="Z3" s="3" t="n">
        <v>46184</v>
      </c>
      <c r="AC3" s="3" t="n">
        <v>46192</v>
      </c>
      <c r="AF3" s="3" t="n">
        <v>46198</v>
      </c>
      <c r="AI3" s="3" t="n">
        <v>46205</v>
      </c>
      <c r="AL3" s="3" t="n">
        <v>46219</v>
      </c>
      <c r="AO3" s="3" t="n">
        <v>46227</v>
      </c>
      <c r="AR3" s="3" t="n">
        <v>46234</v>
      </c>
      <c r="AU3" s="3" t="n">
        <v>46241</v>
      </c>
      <c r="AX3" s="3" t="n">
        <v>46248</v>
      </c>
      <c r="BA3" s="4" t="n">
        <v>46255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TOTAL 
UNIT</t>
        </is>
      </c>
      <c r="F4" s="5" t="inlineStr">
        <is>
          <t>SOLD</t>
        </is>
      </c>
      <c r="G4" s="5" t="inlineStr">
        <is>
          <t>%</t>
        </is>
      </c>
      <c r="H4" s="5" t="inlineStr">
        <is>
          <t xml:space="preserve">NEW SALES </t>
        </is>
      </c>
      <c r="I4" s="5" t="inlineStr">
        <is>
          <t>TOTAL SOLD</t>
        </is>
      </c>
      <c r="J4" s="5" t="inlineStr">
        <is>
          <t>%</t>
        </is>
      </c>
      <c r="K4" s="5" t="inlineStr">
        <is>
          <t xml:space="preserve">NEW SALES </t>
        </is>
      </c>
      <c r="L4" s="5" t="inlineStr">
        <is>
          <t>TOTAL SOLD</t>
        </is>
      </c>
      <c r="M4" s="5" t="inlineStr">
        <is>
          <t>%</t>
        </is>
      </c>
      <c r="N4" s="5" t="inlineStr">
        <is>
          <t xml:space="preserve">NEW SALES </t>
        </is>
      </c>
      <c r="O4" s="5" t="inlineStr">
        <is>
          <t>TOTAL SOLD</t>
        </is>
      </c>
      <c r="P4" s="5" t="inlineStr">
        <is>
          <t>%</t>
        </is>
      </c>
      <c r="Q4" s="5" t="inlineStr">
        <is>
          <t xml:space="preserve">NEW SALES </t>
        </is>
      </c>
      <c r="R4" s="5" t="inlineStr">
        <is>
          <t>TOTAL SOLD</t>
        </is>
      </c>
      <c r="S4" s="5" t="inlineStr">
        <is>
          <t>%</t>
        </is>
      </c>
      <c r="T4" s="5" t="inlineStr">
        <is>
          <t xml:space="preserve">NEW SALES </t>
        </is>
      </c>
      <c r="U4" s="5" t="inlineStr">
        <is>
          <t>TOTAL SOLD</t>
        </is>
      </c>
      <c r="V4" s="5" t="inlineStr">
        <is>
          <t>%</t>
        </is>
      </c>
      <c r="W4" s="5" t="inlineStr">
        <is>
          <t xml:space="preserve">NEW SALES </t>
        </is>
      </c>
      <c r="X4" s="5" t="inlineStr">
        <is>
          <t>TOTAL SOLD</t>
        </is>
      </c>
      <c r="Y4" s="5" t="inlineStr">
        <is>
          <t>%</t>
        </is>
      </c>
      <c r="Z4" s="5" t="inlineStr">
        <is>
          <t xml:space="preserve">NEW SALES </t>
        </is>
      </c>
      <c r="AA4" s="5" t="inlineStr">
        <is>
          <t>TOTAL SOLD</t>
        </is>
      </c>
      <c r="AB4" s="5" t="inlineStr">
        <is>
          <t>%</t>
        </is>
      </c>
      <c r="AC4" s="5" t="inlineStr">
        <is>
          <t xml:space="preserve">NEW SALES </t>
        </is>
      </c>
      <c r="AD4" s="5" t="inlineStr">
        <is>
          <t>TOTAL SOLD</t>
        </is>
      </c>
      <c r="AE4" s="5" t="inlineStr">
        <is>
          <t>%</t>
        </is>
      </c>
      <c r="AF4" s="5" t="inlineStr">
        <is>
          <t xml:space="preserve">NEW SALES </t>
        </is>
      </c>
      <c r="AG4" s="5" t="inlineStr">
        <is>
          <t>TOTAL SOLD</t>
        </is>
      </c>
      <c r="AH4" s="5" t="inlineStr">
        <is>
          <t>%</t>
        </is>
      </c>
      <c r="AI4" s="5" t="inlineStr">
        <is>
          <t xml:space="preserve">NEW SALES </t>
        </is>
      </c>
      <c r="AJ4" s="5" t="inlineStr">
        <is>
          <t>TOTAL SOLD</t>
        </is>
      </c>
      <c r="AK4" s="5" t="inlineStr">
        <is>
          <t>%</t>
        </is>
      </c>
      <c r="AL4" s="5" t="inlineStr">
        <is>
          <t xml:space="preserve">NEW SALES </t>
        </is>
      </c>
      <c r="AM4" s="5" t="inlineStr">
        <is>
          <t>TOTAL SOLD</t>
        </is>
      </c>
      <c r="AN4" s="5" t="inlineStr">
        <is>
          <t>%</t>
        </is>
      </c>
      <c r="AO4" s="5" t="inlineStr">
        <is>
          <t xml:space="preserve">NEW SALES </t>
        </is>
      </c>
      <c r="AP4" s="5" t="inlineStr">
        <is>
          <t>TOTAL SOLD</t>
        </is>
      </c>
      <c r="AQ4" s="5" t="inlineStr">
        <is>
          <t>%</t>
        </is>
      </c>
      <c r="AR4" s="5" t="inlineStr">
        <is>
          <t xml:space="preserve">NEW SALES </t>
        </is>
      </c>
      <c r="AS4" s="5" t="inlineStr">
        <is>
          <t>TOTAL SOLD</t>
        </is>
      </c>
      <c r="AT4" s="5" t="inlineStr">
        <is>
          <t>%</t>
        </is>
      </c>
      <c r="AU4" s="5" t="inlineStr">
        <is>
          <t xml:space="preserve">NEW SALES </t>
        </is>
      </c>
      <c r="AV4" s="5" t="inlineStr">
        <is>
          <t>TOTAL SOLD</t>
        </is>
      </c>
      <c r="AW4" s="5" t="inlineStr">
        <is>
          <t>%</t>
        </is>
      </c>
      <c r="AX4" s="5" t="inlineStr">
        <is>
          <t xml:space="preserve">NEW SALES </t>
        </is>
      </c>
      <c r="AY4" s="5" t="inlineStr">
        <is>
          <t>TOTAL SOLD</t>
        </is>
      </c>
      <c r="AZ4" s="5" t="inlineStr">
        <is>
          <t>%</t>
        </is>
      </c>
      <c r="BA4" s="6" t="inlineStr">
        <is>
          <t xml:space="preserve">NEW SALES </t>
        </is>
      </c>
      <c r="BB4" s="6" t="inlineStr">
        <is>
          <t>TOTAL SOLD</t>
        </is>
      </c>
      <c r="BC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7" t="inlineStr">
        <is>
          <t>31202-1</t>
        </is>
      </c>
      <c r="D5" s="8" t="inlineStr">
        <is>
          <t>EC VANTAGE SDN. BHD.</t>
        </is>
      </c>
      <c r="E5" s="9" t="n">
        <v>1310</v>
      </c>
      <c r="F5" s="9" t="n"/>
      <c r="G5" s="10" t="n"/>
      <c r="H5" s="9" t="n"/>
      <c r="I5" s="9" t="n"/>
      <c r="J5" s="10" t="n"/>
      <c r="K5" s="9" t="n"/>
      <c r="L5" s="9" t="n"/>
      <c r="M5" s="10" t="n"/>
      <c r="N5" s="9" t="n"/>
      <c r="O5" s="9" t="n"/>
      <c r="P5" s="10" t="n"/>
      <c r="Q5" s="9" t="n"/>
      <c r="R5" s="9" t="n"/>
      <c r="S5" s="10" t="n"/>
      <c r="T5" s="9" t="n"/>
      <c r="U5" s="9" t="n"/>
      <c r="V5" s="10" t="n"/>
      <c r="W5" s="9" t="n"/>
      <c r="X5" s="9" t="n"/>
      <c r="Y5" s="10" t="n"/>
      <c r="Z5" s="9" t="n"/>
      <c r="AA5" s="9" t="n"/>
      <c r="AB5" s="10" t="n"/>
      <c r="AC5" s="9" t="n"/>
      <c r="AD5" s="9" t="n"/>
      <c r="AE5" s="10" t="n"/>
      <c r="AF5" s="9" t="n"/>
      <c r="AG5" s="9" t="n"/>
      <c r="AH5" s="10" t="n"/>
      <c r="AI5" s="9" t="n"/>
      <c r="AJ5" s="9" t="n"/>
      <c r="AK5" s="10" t="n"/>
      <c r="AL5" s="9" t="n"/>
      <c r="AM5" s="9" t="n"/>
      <c r="AN5" s="10" t="n"/>
      <c r="AO5" s="9" t="n"/>
      <c r="AP5" s="9" t="n"/>
      <c r="AQ5" s="10" t="n"/>
      <c r="AR5" s="9" t="n"/>
      <c r="AS5" s="9" t="n"/>
      <c r="AT5" s="10" t="n"/>
      <c r="AU5" s="9" t="n"/>
      <c r="AV5" s="9" t="n"/>
      <c r="AW5" s="10" t="n"/>
      <c r="AX5" s="9" t="n"/>
      <c r="AY5" s="9" t="n">
        <v>177</v>
      </c>
      <c r="AZ5" s="10">
        <f>AY5/$E$5</f>
        <v/>
      </c>
      <c r="BA5" s="11">
        <f>BB5-AY5</f>
        <v/>
      </c>
      <c r="BB5" s="11" t="n">
        <v>183</v>
      </c>
      <c r="BC5" s="12">
        <f>BB5/$E$5</f>
        <v/>
      </c>
    </row>
    <row r="6">
      <c r="A6" s="7" t="n">
        <v>2</v>
      </c>
      <c r="B6" s="8" t="inlineStr">
        <is>
          <t>M AURORA</t>
        </is>
      </c>
      <c r="C6" s="7" t="inlineStr">
        <is>
          <t>13262-2</t>
        </is>
      </c>
      <c r="D6" s="8" t="inlineStr">
        <is>
          <t>MAJORLAND DEVELOPMENT SDN BHD</t>
        </is>
      </c>
      <c r="E6" s="9" t="n">
        <v>1544</v>
      </c>
      <c r="F6" s="9" t="n">
        <v>85</v>
      </c>
      <c r="G6" s="10">
        <f>F6/$E$6</f>
        <v/>
      </c>
      <c r="H6" s="9">
        <f>I6-F6</f>
        <v/>
      </c>
      <c r="I6" s="9" t="n">
        <v>109</v>
      </c>
      <c r="J6" s="10">
        <f>I6/$E$6</f>
        <v/>
      </c>
      <c r="K6" s="9">
        <f>L6-I6</f>
        <v/>
      </c>
      <c r="L6" s="9" t="n">
        <v>123</v>
      </c>
      <c r="M6" s="10">
        <f>L6/$E$6</f>
        <v/>
      </c>
      <c r="N6" s="9">
        <f>O6-L6</f>
        <v/>
      </c>
      <c r="O6" s="9" t="n">
        <v>138</v>
      </c>
      <c r="P6" s="10">
        <f>O6/$E$6</f>
        <v/>
      </c>
      <c r="Q6" s="9">
        <f>R6-O6</f>
        <v/>
      </c>
      <c r="R6" s="9" t="n">
        <v>170</v>
      </c>
      <c r="S6" s="10">
        <f>R6/$E$6</f>
        <v/>
      </c>
      <c r="T6" s="9">
        <f>U6-R6</f>
        <v/>
      </c>
      <c r="U6" s="9" t="n">
        <v>191</v>
      </c>
      <c r="V6" s="10">
        <f>U6/$E$6</f>
        <v/>
      </c>
      <c r="W6" s="9">
        <f>X6-U6</f>
        <v/>
      </c>
      <c r="X6" s="9" t="n">
        <v>213</v>
      </c>
      <c r="Y6" s="10">
        <f>X6/$E$6</f>
        <v/>
      </c>
      <c r="Z6" s="9">
        <f>AA6-X6</f>
        <v/>
      </c>
      <c r="AA6" s="9" t="n">
        <v>220</v>
      </c>
      <c r="AB6" s="10">
        <f>AA6/$E$6</f>
        <v/>
      </c>
      <c r="AC6" s="9">
        <f>AD6-AA6</f>
        <v/>
      </c>
      <c r="AD6" s="9" t="n">
        <v>231</v>
      </c>
      <c r="AE6" s="10">
        <f>AD6/$E$6</f>
        <v/>
      </c>
      <c r="AF6" s="9">
        <f>AG6-AD6</f>
        <v/>
      </c>
      <c r="AG6" s="9" t="n">
        <v>241</v>
      </c>
      <c r="AH6" s="10">
        <f>AG6/$E$6</f>
        <v/>
      </c>
      <c r="AI6" s="9">
        <f>AJ6-AG6</f>
        <v/>
      </c>
      <c r="AJ6" s="9" t="n">
        <v>247</v>
      </c>
      <c r="AK6" s="10">
        <f>AJ6/$E$6</f>
        <v/>
      </c>
      <c r="AL6" s="9">
        <f>AM6-AJ6</f>
        <v/>
      </c>
      <c r="AM6" s="9" t="n">
        <v>269</v>
      </c>
      <c r="AN6" s="10">
        <f>AM6/$E$6</f>
        <v/>
      </c>
      <c r="AO6" s="9">
        <f>AP6-AM6</f>
        <v/>
      </c>
      <c r="AP6" s="9" t="n">
        <v>285</v>
      </c>
      <c r="AQ6" s="10">
        <f>AP6/$E$6</f>
        <v/>
      </c>
      <c r="AR6" s="9">
        <f>AS6-AP6</f>
        <v/>
      </c>
      <c r="AS6" s="9" t="n">
        <v>306</v>
      </c>
      <c r="AT6" s="10">
        <f>AS6/$E$6</f>
        <v/>
      </c>
      <c r="AU6" s="9">
        <f>AV6-AS6</f>
        <v/>
      </c>
      <c r="AV6" s="9" t="n">
        <v>319</v>
      </c>
      <c r="AW6" s="10">
        <f>AV6/$E$6</f>
        <v/>
      </c>
      <c r="AX6" s="9">
        <f>AY6-AV6</f>
        <v/>
      </c>
      <c r="AY6" s="9" t="n">
        <v>334</v>
      </c>
      <c r="AZ6" s="10">
        <f>AY6/$E$6</f>
        <v/>
      </c>
      <c r="BA6" s="11">
        <f>BB6-AY6</f>
        <v/>
      </c>
      <c r="BB6" s="11" t="n">
        <v>344</v>
      </c>
      <c r="BC6" s="12">
        <f>BB6/$E$6</f>
        <v/>
      </c>
    </row>
    <row r="7">
      <c r="A7" s="7" t="n">
        <v>3</v>
      </c>
      <c r="B7" s="8" t="inlineStr">
        <is>
          <t>ARTE STAR 
MILANO</t>
        </is>
      </c>
      <c r="C7" s="7" t="inlineStr">
        <is>
          <t>30590-2</t>
        </is>
      </c>
      <c r="D7" s="8" t="inlineStr">
        <is>
          <t>SURIAMEGA DEVELOPMENT</t>
        </is>
      </c>
      <c r="E7" s="9" t="n">
        <v>996</v>
      </c>
      <c r="F7" s="9" t="n">
        <v>46</v>
      </c>
      <c r="G7" s="10">
        <f>F7/$E$7</f>
        <v/>
      </c>
      <c r="H7" s="9">
        <f>I7-F7</f>
        <v/>
      </c>
      <c r="I7" s="9" t="n">
        <v>52</v>
      </c>
      <c r="J7" s="10">
        <f>I7/$E$7</f>
        <v/>
      </c>
      <c r="K7" s="9">
        <f>L7-I7</f>
        <v/>
      </c>
      <c r="L7" s="9" t="n">
        <v>54</v>
      </c>
      <c r="M7" s="10">
        <f>L7/$E$7</f>
        <v/>
      </c>
      <c r="N7" s="9">
        <f>O7-L7</f>
        <v/>
      </c>
      <c r="O7" s="9" t="n">
        <v>58</v>
      </c>
      <c r="P7" s="10">
        <f>O7/$E$7</f>
        <v/>
      </c>
      <c r="Q7" s="9">
        <f>R7-O7</f>
        <v/>
      </c>
      <c r="R7" s="9" t="n">
        <v>61</v>
      </c>
      <c r="S7" s="10">
        <f>R7/$E$7</f>
        <v/>
      </c>
      <c r="T7" s="9">
        <f>U7-R7</f>
        <v/>
      </c>
      <c r="U7" s="9" t="n">
        <v>67</v>
      </c>
      <c r="V7" s="10">
        <f>U7/$E$7</f>
        <v/>
      </c>
      <c r="W7" s="9">
        <f>X7-U7</f>
        <v/>
      </c>
      <c r="X7" s="9" t="n">
        <v>67</v>
      </c>
      <c r="Y7" s="10">
        <f>X7/$E$7</f>
        <v/>
      </c>
      <c r="Z7" s="9">
        <f>AA7-X7</f>
        <v/>
      </c>
      <c r="AA7" s="9" t="n">
        <v>73</v>
      </c>
      <c r="AB7" s="10">
        <f>AA7/$E$7</f>
        <v/>
      </c>
      <c r="AC7" s="9">
        <f>AD7-AA7</f>
        <v/>
      </c>
      <c r="AD7" s="9" t="n">
        <v>74</v>
      </c>
      <c r="AE7" s="10">
        <f>AD7/$E$7</f>
        <v/>
      </c>
      <c r="AF7" s="9">
        <f>AG7-AD7</f>
        <v/>
      </c>
      <c r="AG7" s="9" t="n">
        <v>78</v>
      </c>
      <c r="AH7" s="10">
        <f>AG7/$E$7</f>
        <v/>
      </c>
      <c r="AI7" s="9">
        <f>AJ7-AG7</f>
        <v/>
      </c>
      <c r="AJ7" s="9" t="n">
        <v>81</v>
      </c>
      <c r="AK7" s="10">
        <f>AJ7/$E$7</f>
        <v/>
      </c>
      <c r="AL7" s="9">
        <f>AM7-AJ7</f>
        <v/>
      </c>
      <c r="AM7" s="9" t="n">
        <v>94</v>
      </c>
      <c r="AN7" s="10">
        <f>AM7/$E$7</f>
        <v/>
      </c>
      <c r="AO7" s="9">
        <f>AP7-AM7</f>
        <v/>
      </c>
      <c r="AP7" s="9" t="n">
        <v>102</v>
      </c>
      <c r="AQ7" s="10">
        <f>AP7/$E$7</f>
        <v/>
      </c>
      <c r="AR7" s="9">
        <f>AS7-AP7</f>
        <v/>
      </c>
      <c r="AS7" s="9" t="n">
        <v>106</v>
      </c>
      <c r="AT7" s="10">
        <f>AS7/$E$7</f>
        <v/>
      </c>
      <c r="AU7" s="9">
        <f>AV7-AS7</f>
        <v/>
      </c>
      <c r="AV7" s="9" t="n">
        <v>112</v>
      </c>
      <c r="AW7" s="10">
        <f>AV7/$E$7</f>
        <v/>
      </c>
      <c r="AX7" s="9">
        <f>AY7-AV7</f>
        <v/>
      </c>
      <c r="AY7" s="9" t="n">
        <v>119</v>
      </c>
      <c r="AZ7" s="10">
        <f>AY7/$E$7</f>
        <v/>
      </c>
      <c r="BA7" s="11">
        <f>BB7-AY7</f>
        <v/>
      </c>
      <c r="BB7" s="11" t="n">
        <v>123</v>
      </c>
      <c r="BC7" s="12">
        <f>BB7/$E$7</f>
        <v/>
      </c>
    </row>
    <row r="8">
      <c r="A8" s="7" t="n">
        <v>4</v>
      </c>
      <c r="B8" s="8" t="inlineStr">
        <is>
          <t xml:space="preserve"> M ASPIRA</t>
        </is>
      </c>
      <c r="C8" s="7" t="inlineStr">
        <is>
          <t>5911-33</t>
        </is>
      </c>
      <c r="D8" s="8" t="inlineStr">
        <is>
          <t>MAH SING GROUP BERHAD</t>
        </is>
      </c>
      <c r="E8" s="9" t="n">
        <v>1618</v>
      </c>
      <c r="F8" s="9" t="n">
        <v>792</v>
      </c>
      <c r="G8" s="10">
        <f>F8/$E$8</f>
        <v/>
      </c>
      <c r="H8" s="9">
        <f>I8-F8</f>
        <v/>
      </c>
      <c r="I8" s="9" t="n">
        <v>808</v>
      </c>
      <c r="J8" s="10">
        <f>I8/$E$8</f>
        <v/>
      </c>
      <c r="K8" s="9">
        <f>L8-I8</f>
        <v/>
      </c>
      <c r="L8" s="9" t="n">
        <v>818</v>
      </c>
      <c r="M8" s="10">
        <f>L8/$E$8</f>
        <v/>
      </c>
      <c r="N8" s="9">
        <f>O8-L8</f>
        <v/>
      </c>
      <c r="O8" s="9" t="n">
        <v>837</v>
      </c>
      <c r="P8" s="10">
        <f>O8/$E$8</f>
        <v/>
      </c>
      <c r="Q8" s="9">
        <f>R8-O8</f>
        <v/>
      </c>
      <c r="R8" s="9" t="n">
        <v>854</v>
      </c>
      <c r="S8" s="10">
        <f>R8/$E$8</f>
        <v/>
      </c>
      <c r="T8" s="9">
        <f>U8-R8</f>
        <v/>
      </c>
      <c r="U8" s="9" t="n">
        <v>874</v>
      </c>
      <c r="V8" s="10">
        <f>U8/$E$8</f>
        <v/>
      </c>
      <c r="W8" s="9">
        <f>X8-U8</f>
        <v/>
      </c>
      <c r="X8" s="9" t="n">
        <v>878</v>
      </c>
      <c r="Y8" s="10">
        <f>X8/$E$8</f>
        <v/>
      </c>
      <c r="Z8" s="9">
        <f>AA8-X8</f>
        <v/>
      </c>
      <c r="AA8" s="9" t="n">
        <v>885</v>
      </c>
      <c r="AB8" s="10">
        <f>AA8/$E$8</f>
        <v/>
      </c>
      <c r="AC8" s="9">
        <f>AD8-AA8</f>
        <v/>
      </c>
      <c r="AD8" s="9" t="n">
        <v>892</v>
      </c>
      <c r="AE8" s="10">
        <f>AD8/$E$8</f>
        <v/>
      </c>
      <c r="AF8" s="9">
        <f>AG8-AD8</f>
        <v/>
      </c>
      <c r="AG8" s="9" t="n">
        <v>907</v>
      </c>
      <c r="AH8" s="10">
        <f>AG8/$E$8</f>
        <v/>
      </c>
      <c r="AI8" s="9">
        <f>AJ8-AG8</f>
        <v/>
      </c>
      <c r="AJ8" s="9" t="n">
        <v>922</v>
      </c>
      <c r="AK8" s="10">
        <f>AJ8/$E$8</f>
        <v/>
      </c>
      <c r="AL8" s="9">
        <f>AM8-AJ8</f>
        <v/>
      </c>
      <c r="AM8" s="9" t="n">
        <v>951</v>
      </c>
      <c r="AN8" s="10">
        <f>AM8/$E$8</f>
        <v/>
      </c>
      <c r="AO8" s="9">
        <f>AP8-AM8</f>
        <v/>
      </c>
      <c r="AP8" s="9" t="n">
        <v>965</v>
      </c>
      <c r="AQ8" s="10">
        <f>AP8/$E$8</f>
        <v/>
      </c>
      <c r="AR8" s="9">
        <f>AS8-AP8</f>
        <v/>
      </c>
      <c r="AS8" s="9" t="n">
        <v>976</v>
      </c>
      <c r="AT8" s="10">
        <f>AS8/$E$8</f>
        <v/>
      </c>
      <c r="AU8" s="9">
        <f>AV8-AS8</f>
        <v/>
      </c>
      <c r="AV8" s="9" t="n">
        <v>985</v>
      </c>
      <c r="AW8" s="10">
        <f>AV8/$E$8</f>
        <v/>
      </c>
      <c r="AX8" s="9">
        <f>AY8-AV8</f>
        <v/>
      </c>
      <c r="AY8" s="9" t="n">
        <v>996</v>
      </c>
      <c r="AZ8" s="10">
        <f>AY8/$E$8</f>
        <v/>
      </c>
      <c r="BA8" s="11">
        <f>BB8-AY8</f>
        <v/>
      </c>
      <c r="BB8" s="11" t="n">
        <v>1003</v>
      </c>
      <c r="BC8" s="12">
        <f>BB8/$E$8</f>
        <v/>
      </c>
    </row>
    <row r="9">
      <c r="A9" s="7" t="n">
        <v>5</v>
      </c>
      <c r="B9" s="8" t="inlineStr">
        <is>
          <t>RESIDENSI DESA TIMUR
A DESA</t>
        </is>
      </c>
      <c r="C9" s="7" t="inlineStr">
        <is>
          <t>30363-2</t>
        </is>
      </c>
      <c r="D9" s="8" t="inlineStr">
        <is>
          <t>FITRAH RESOURCES SDN BHD</t>
        </is>
      </c>
      <c r="E9" s="9" t="n">
        <v>1218</v>
      </c>
      <c r="F9" s="9" t="n">
        <v>1091</v>
      </c>
      <c r="G9" s="10">
        <f>F9/$E$9</f>
        <v/>
      </c>
      <c r="H9" s="9">
        <f>I9-F9</f>
        <v/>
      </c>
      <c r="I9" s="9" t="n">
        <v>0</v>
      </c>
      <c r="J9" s="10">
        <f>I9/$E$9</f>
        <v/>
      </c>
      <c r="K9" s="9">
        <f>L9-I9</f>
        <v/>
      </c>
      <c r="L9" s="9" t="n">
        <v>1093</v>
      </c>
      <c r="M9" s="10">
        <f>L9/$E$9</f>
        <v/>
      </c>
      <c r="N9" s="9">
        <f>O9-L9</f>
        <v/>
      </c>
      <c r="O9" s="9" t="n">
        <v>1095</v>
      </c>
      <c r="P9" s="10">
        <f>O9/$E$9</f>
        <v/>
      </c>
      <c r="Q9" s="9">
        <f>R9-O9</f>
        <v/>
      </c>
      <c r="R9" s="9" t="n">
        <v>1096</v>
      </c>
      <c r="S9" s="10">
        <f>R9/$E$9</f>
        <v/>
      </c>
      <c r="T9" s="9">
        <f>U9-R9</f>
        <v/>
      </c>
      <c r="U9" s="9" t="n">
        <v>1100</v>
      </c>
      <c r="V9" s="10">
        <f>U9/$E$9</f>
        <v/>
      </c>
      <c r="W9" s="9">
        <f>X9-U9</f>
        <v/>
      </c>
      <c r="X9" s="9" t="n">
        <v>1102</v>
      </c>
      <c r="Y9" s="10">
        <f>X9/$E$9</f>
        <v/>
      </c>
      <c r="Z9" s="9">
        <f>AA9-X9</f>
        <v/>
      </c>
      <c r="AA9" s="9" t="n">
        <v>1106</v>
      </c>
      <c r="AB9" s="10">
        <f>AA9/$E$9</f>
        <v/>
      </c>
      <c r="AC9" s="9">
        <f>AD9-AA9</f>
        <v/>
      </c>
      <c r="AD9" s="9" t="n">
        <v>1107</v>
      </c>
      <c r="AE9" s="10">
        <f>AD9/$E$9</f>
        <v/>
      </c>
      <c r="AF9" s="9">
        <f>AG9-AD9</f>
        <v/>
      </c>
      <c r="AG9" s="9" t="n">
        <v>1109</v>
      </c>
      <c r="AH9" s="10">
        <f>AG9/$E$9</f>
        <v/>
      </c>
      <c r="AI9" s="9">
        <f>AJ9-AG9</f>
        <v/>
      </c>
      <c r="AJ9" s="9" t="n">
        <v>1111</v>
      </c>
      <c r="AK9" s="10">
        <f>AJ9/$E$9</f>
        <v/>
      </c>
      <c r="AL9" s="9">
        <f>AM9-AJ9</f>
        <v/>
      </c>
      <c r="AM9" s="9" t="n">
        <v>1116</v>
      </c>
      <c r="AN9" s="10">
        <f>AM9/$E$9</f>
        <v/>
      </c>
      <c r="AO9" s="9">
        <f>AP9-AM9</f>
        <v/>
      </c>
      <c r="AP9" s="9" t="n">
        <v>1117</v>
      </c>
      <c r="AQ9" s="10">
        <f>AP9/$E$9</f>
        <v/>
      </c>
      <c r="AR9" s="9">
        <f>AS9-AP9</f>
        <v/>
      </c>
      <c r="AS9" s="9" t="n">
        <v>1117</v>
      </c>
      <c r="AT9" s="10">
        <f>AS9/$E$9</f>
        <v/>
      </c>
      <c r="AU9" s="9">
        <f>AV9-AS9</f>
        <v/>
      </c>
      <c r="AV9" s="9" t="n">
        <v>1119</v>
      </c>
      <c r="AW9" s="10">
        <f>AV9/$E$9</f>
        <v/>
      </c>
      <c r="AX9" s="9">
        <f>AY9-AV9</f>
        <v/>
      </c>
      <c r="AY9" s="9" t="n">
        <v>1125</v>
      </c>
      <c r="AZ9" s="10">
        <f>AY9/$E$9</f>
        <v/>
      </c>
      <c r="BA9" s="11">
        <f>BB9-AY9</f>
        <v/>
      </c>
      <c r="BB9" s="11" t="n">
        <v>1125</v>
      </c>
      <c r="BC9" s="12">
        <f>BB9/$E$9</f>
        <v/>
      </c>
    </row>
    <row r="10">
      <c r="A10" s="7" t="n">
        <v>6</v>
      </c>
      <c r="B10" s="8" t="inlineStr">
        <is>
          <t>RADIUM ARENA
RESIDENSI RADIUM</t>
        </is>
      </c>
      <c r="C10" s="7" t="inlineStr">
        <is>
          <t>30821-1</t>
        </is>
      </c>
      <c r="D10" s="8" t="inlineStr">
        <is>
          <t>RADIUM GLOBAL SDN BHD</t>
        </is>
      </c>
      <c r="E10" s="9" t="n">
        <v>988</v>
      </c>
      <c r="F10" s="9" t="n">
        <v>446</v>
      </c>
      <c r="G10" s="10">
        <f>F10/$E$10</f>
        <v/>
      </c>
      <c r="H10" s="9">
        <f>I10-F10</f>
        <v/>
      </c>
      <c r="I10" s="9" t="n">
        <v>0</v>
      </c>
      <c r="J10" s="10">
        <f>I10/$E$10</f>
        <v/>
      </c>
      <c r="K10" s="9">
        <f>L10-I10</f>
        <v/>
      </c>
      <c r="L10" s="9" t="n">
        <v>447</v>
      </c>
      <c r="M10" s="10">
        <f>L10/$E$10</f>
        <v/>
      </c>
      <c r="N10" s="9">
        <f>O10-L10</f>
        <v/>
      </c>
      <c r="O10" s="9" t="n">
        <v>457</v>
      </c>
      <c r="P10" s="10">
        <f>O10/$E$10</f>
        <v/>
      </c>
      <c r="Q10" s="9">
        <f>R10-O10</f>
        <v/>
      </c>
      <c r="R10" s="9" t="n">
        <v>458</v>
      </c>
      <c r="S10" s="10">
        <f>R10/$E$10</f>
        <v/>
      </c>
      <c r="T10" s="9">
        <f>U10-R10</f>
        <v/>
      </c>
      <c r="U10" s="9" t="n">
        <v>460</v>
      </c>
      <c r="V10" s="10">
        <f>U10/$E$10</f>
        <v/>
      </c>
      <c r="W10" s="9">
        <f>X10-U10</f>
        <v/>
      </c>
      <c r="X10" s="9" t="n">
        <v>460</v>
      </c>
      <c r="Y10" s="10">
        <f>X10/$E$10</f>
        <v/>
      </c>
      <c r="Z10" s="9">
        <f>AA10-X10</f>
        <v/>
      </c>
      <c r="AA10" s="9" t="n">
        <v>462</v>
      </c>
      <c r="AB10" s="10">
        <f>AA10/$E$10</f>
        <v/>
      </c>
      <c r="AC10" s="9">
        <f>AD10-AA10</f>
        <v/>
      </c>
      <c r="AD10" s="9" t="n">
        <v>462</v>
      </c>
      <c r="AE10" s="10">
        <f>AD10/$E$10</f>
        <v/>
      </c>
      <c r="AF10" s="9">
        <f>AG10-AD10</f>
        <v/>
      </c>
      <c r="AG10" s="9" t="n">
        <v>463</v>
      </c>
      <c r="AH10" s="10">
        <f>AG10/$E$10</f>
        <v/>
      </c>
      <c r="AI10" s="9">
        <f>AJ10-AG10</f>
        <v/>
      </c>
      <c r="AJ10" s="9" t="n">
        <v>464</v>
      </c>
      <c r="AK10" s="10">
        <f>AJ10/$E$10</f>
        <v/>
      </c>
      <c r="AL10" s="9">
        <f>AM10-AJ10</f>
        <v/>
      </c>
      <c r="AM10" s="9" t="n">
        <v>472</v>
      </c>
      <c r="AN10" s="10">
        <f>AM10/$E$10</f>
        <v/>
      </c>
      <c r="AO10" s="9">
        <f>AP10-AM10</f>
        <v/>
      </c>
      <c r="AP10" s="9" t="n">
        <v>475</v>
      </c>
      <c r="AQ10" s="10">
        <f>AP10/$E$10</f>
        <v/>
      </c>
      <c r="AR10" s="9">
        <f>AS10-AP10</f>
        <v/>
      </c>
      <c r="AS10" s="9" t="n">
        <v>485</v>
      </c>
      <c r="AT10" s="10">
        <f>AS10/$E$10</f>
        <v/>
      </c>
      <c r="AU10" s="9">
        <f>AV10-AS10</f>
        <v/>
      </c>
      <c r="AV10" s="9" t="n">
        <v>491</v>
      </c>
      <c r="AW10" s="10">
        <f>AV10/$E$10</f>
        <v/>
      </c>
      <c r="AX10" s="9">
        <f>AY10-AV10</f>
        <v/>
      </c>
      <c r="AY10" s="9" t="n">
        <v>499</v>
      </c>
      <c r="AZ10" s="10">
        <f>AY10/$E$10</f>
        <v/>
      </c>
      <c r="BA10" s="11">
        <f>BB10-AY10</f>
        <v/>
      </c>
      <c r="BB10" s="11" t="n">
        <v>509</v>
      </c>
      <c r="BC10" s="12">
        <f>BB10/$E$10</f>
        <v/>
      </c>
    </row>
    <row r="11">
      <c r="A11" s="7" t="n">
        <v>7</v>
      </c>
      <c r="B11" s="8" t="inlineStr">
        <is>
          <t>RESIDENSI AMBIEN</t>
        </is>
      </c>
      <c r="C11" s="7" t="inlineStr">
        <is>
          <t>30366-1</t>
        </is>
      </c>
      <c r="D11" s="8" t="inlineStr">
        <is>
          <t>FAITHVIEW RESOURCES SDN BHD</t>
        </is>
      </c>
      <c r="E11" s="9" t="n">
        <v>482</v>
      </c>
      <c r="F11" s="9" t="n">
        <v>452</v>
      </c>
      <c r="G11" s="10">
        <f>F11/$E$11</f>
        <v/>
      </c>
      <c r="H11" s="9">
        <f>I11-F11</f>
        <v/>
      </c>
      <c r="I11" s="9" t="n">
        <v>454</v>
      </c>
      <c r="J11" s="10">
        <f>I11/$E$11</f>
        <v/>
      </c>
      <c r="K11" s="9">
        <f>L11-I11</f>
        <v/>
      </c>
      <c r="L11" s="9" t="n">
        <v>456</v>
      </c>
      <c r="M11" s="10">
        <f>L11/$E$11</f>
        <v/>
      </c>
      <c r="N11" s="9">
        <f>O11-L11</f>
        <v/>
      </c>
      <c r="O11" s="9" t="n">
        <v>457</v>
      </c>
      <c r="P11" s="10">
        <f>O11/$E$11</f>
        <v/>
      </c>
      <c r="Q11" s="9">
        <f>R11-O11</f>
        <v/>
      </c>
      <c r="R11" s="9" t="n">
        <v>459</v>
      </c>
      <c r="S11" s="10">
        <f>R11/$E$11</f>
        <v/>
      </c>
      <c r="T11" s="9">
        <f>U11-R11</f>
        <v/>
      </c>
      <c r="U11" s="9" t="n">
        <v>461</v>
      </c>
      <c r="V11" s="10">
        <f>U11/$E$11</f>
        <v/>
      </c>
      <c r="W11" s="9">
        <f>X11-U11</f>
        <v/>
      </c>
      <c r="X11" s="9" t="n">
        <v>462</v>
      </c>
      <c r="Y11" s="10">
        <f>X11/$E$11</f>
        <v/>
      </c>
      <c r="Z11" s="9">
        <f>AA11-X11</f>
        <v/>
      </c>
      <c r="AA11" s="9" t="n">
        <v>463</v>
      </c>
      <c r="AB11" s="10">
        <f>AA11/$E$11</f>
        <v/>
      </c>
      <c r="AC11" s="9">
        <f>AD11-AA11</f>
        <v/>
      </c>
      <c r="AD11" s="9" t="n">
        <v>463</v>
      </c>
      <c r="AE11" s="10">
        <f>AD11/$E$11</f>
        <v/>
      </c>
      <c r="AF11" s="9">
        <f>AG11-AD11</f>
        <v/>
      </c>
      <c r="AG11" s="9" t="n">
        <v>464</v>
      </c>
      <c r="AH11" s="10">
        <f>AG11/$E$11</f>
        <v/>
      </c>
      <c r="AI11" s="9">
        <f>AJ11-AG11</f>
        <v/>
      </c>
      <c r="AJ11" s="9" t="n">
        <v>464</v>
      </c>
      <c r="AK11" s="10">
        <f>AJ11/$E$11</f>
        <v/>
      </c>
      <c r="AL11" s="9">
        <f>AM11-AJ11</f>
        <v/>
      </c>
      <c r="AM11" s="9" t="n">
        <v>465</v>
      </c>
      <c r="AN11" s="10">
        <f>AM11/$E$11</f>
        <v/>
      </c>
      <c r="AO11" s="9">
        <f>AP11-AM11</f>
        <v/>
      </c>
      <c r="AP11" s="9" t="n">
        <v>465</v>
      </c>
      <c r="AQ11" s="10">
        <f>AP11/$E$11</f>
        <v/>
      </c>
      <c r="AR11" s="9">
        <f>AS11-AP11</f>
        <v/>
      </c>
      <c r="AS11" s="9" t="n">
        <v>465</v>
      </c>
      <c r="AT11" s="10">
        <f>AS11/$E$11</f>
        <v/>
      </c>
      <c r="AU11" s="9">
        <f>AV11-AS11</f>
        <v/>
      </c>
      <c r="AV11" s="9" t="n">
        <v>465</v>
      </c>
      <c r="AW11" s="10">
        <f>AV11/$E$11</f>
        <v/>
      </c>
      <c r="AX11" s="9">
        <f>AY11-AV11</f>
        <v/>
      </c>
      <c r="AY11" s="9" t="n">
        <v>467</v>
      </c>
      <c r="AZ11" s="10">
        <f>AY11/$E$11</f>
        <v/>
      </c>
      <c r="BA11" s="11">
        <f>BB11-AY11</f>
        <v/>
      </c>
      <c r="BB11" s="11" t="n">
        <v>467</v>
      </c>
      <c r="BC11" s="12">
        <f>BB11/$E$11</f>
        <v/>
      </c>
    </row>
    <row r="12">
      <c r="A12" s="7" t="n">
        <v>8</v>
      </c>
      <c r="B12" s="8" t="inlineStr">
        <is>
          <t>RESIDENSI HANA</t>
        </is>
      </c>
      <c r="C12" s="7" t="inlineStr">
        <is>
          <t>13074-4</t>
        </is>
      </c>
      <c r="D12" s="8" t="inlineStr">
        <is>
          <t>NATURAL DOMAIN SDN BHD</t>
        </is>
      </c>
      <c r="E12" s="9" t="n">
        <v>299</v>
      </c>
      <c r="F12" s="9" t="n">
        <v>234</v>
      </c>
      <c r="G12" s="10">
        <f>F12/$E$12</f>
        <v/>
      </c>
      <c r="H12" s="9">
        <f>I12-F12</f>
        <v/>
      </c>
      <c r="I12" s="9" t="n">
        <v>0</v>
      </c>
      <c r="J12" s="10">
        <f>I12/$E$12</f>
        <v/>
      </c>
      <c r="K12" s="9">
        <f>L12-I12</f>
        <v/>
      </c>
      <c r="L12" s="9" t="n">
        <v>235</v>
      </c>
      <c r="M12" s="10">
        <f>L12/$E$12</f>
        <v/>
      </c>
      <c r="N12" s="9">
        <f>O12-L12</f>
        <v/>
      </c>
      <c r="O12" s="9" t="n">
        <v>236</v>
      </c>
      <c r="P12" s="10">
        <f>O12/$E$12</f>
        <v/>
      </c>
      <c r="Q12" s="9">
        <f>R12-O12</f>
        <v/>
      </c>
      <c r="R12" s="9" t="n">
        <v>236</v>
      </c>
      <c r="S12" s="10">
        <f>R12/$E$12</f>
        <v/>
      </c>
      <c r="T12" s="9">
        <f>U12-R12</f>
        <v/>
      </c>
      <c r="U12" s="9" t="n">
        <v>236</v>
      </c>
      <c r="V12" s="10">
        <f>U12/$E$12</f>
        <v/>
      </c>
      <c r="W12" s="9">
        <f>X12-U12</f>
        <v/>
      </c>
      <c r="X12" s="9" t="n">
        <v>236</v>
      </c>
      <c r="Y12" s="10">
        <f>X12/$E$12</f>
        <v/>
      </c>
      <c r="Z12" s="9">
        <f>AA12-X12</f>
        <v/>
      </c>
      <c r="AA12" s="9" t="n">
        <v>236</v>
      </c>
      <c r="AB12" s="10">
        <f>AA12/$E$12</f>
        <v/>
      </c>
      <c r="AC12" s="9">
        <f>AD12-AA12</f>
        <v/>
      </c>
      <c r="AD12" s="9" t="n">
        <v>236</v>
      </c>
      <c r="AE12" s="10">
        <f>AD12/$E$12</f>
        <v/>
      </c>
      <c r="AF12" s="9">
        <f>AG12-AD12</f>
        <v/>
      </c>
      <c r="AG12" s="9" t="n">
        <v>236</v>
      </c>
      <c r="AH12" s="10">
        <f>AG12/$E$12</f>
        <v/>
      </c>
      <c r="AI12" s="9">
        <f>AJ12-AG12</f>
        <v/>
      </c>
      <c r="AJ12" s="9" t="n">
        <v>236</v>
      </c>
      <c r="AK12" s="10">
        <f>AJ12/$E$12</f>
        <v/>
      </c>
      <c r="AL12" s="9">
        <f>AM12-AJ12</f>
        <v/>
      </c>
      <c r="AM12" s="9" t="n">
        <v>234</v>
      </c>
      <c r="AN12" s="10">
        <f>AM12/$E$12</f>
        <v/>
      </c>
      <c r="AO12" s="9">
        <f>AP12-AM12</f>
        <v/>
      </c>
      <c r="AP12" s="9" t="n">
        <v>234</v>
      </c>
      <c r="AQ12" s="10">
        <f>AP12/$E$12</f>
        <v/>
      </c>
      <c r="AR12" s="9">
        <f>AS12-AP12</f>
        <v/>
      </c>
      <c r="AS12" s="9" t="n">
        <v>234</v>
      </c>
      <c r="AT12" s="10">
        <f>AS12/$E$12</f>
        <v/>
      </c>
      <c r="AU12" s="9">
        <f>AV12-AS12</f>
        <v/>
      </c>
      <c r="AV12" s="9" t="n">
        <v>235</v>
      </c>
      <c r="AW12" s="10">
        <f>AV12/$E$12</f>
        <v/>
      </c>
      <c r="AX12" s="9">
        <f>AY12-AV12</f>
        <v/>
      </c>
      <c r="AY12" s="9" t="n">
        <v>236</v>
      </c>
      <c r="AZ12" s="10">
        <f>AY12/$E$12</f>
        <v/>
      </c>
      <c r="BA12" s="11">
        <f>BB12-AY12</f>
        <v/>
      </c>
      <c r="BB12" s="11" t="n">
        <v>236</v>
      </c>
      <c r="BC12" s="12">
        <f>BB12/$E$12</f>
        <v/>
      </c>
    </row>
    <row r="13">
      <c r="A13" s="7" t="n">
        <v>9</v>
      </c>
      <c r="B13" s="8" t="inlineStr">
        <is>
          <t>RESIDENSI
SUNWAY COCHRANE</t>
        </is>
      </c>
      <c r="C13" s="7" t="inlineStr">
        <is>
          <t>8824-5</t>
        </is>
      </c>
      <c r="D13" s="8" t="inlineStr">
        <is>
          <t>SUNWAY COCHRANE SDN BHD</t>
        </is>
      </c>
      <c r="E13" s="9" t="n">
        <v>1296</v>
      </c>
      <c r="F13" s="9" t="n">
        <v>379</v>
      </c>
      <c r="G13" s="10">
        <f>F13/$E$13</f>
        <v/>
      </c>
      <c r="H13" s="9">
        <f>I13-F13</f>
        <v/>
      </c>
      <c r="I13" s="9" t="n">
        <v>0</v>
      </c>
      <c r="J13" s="10">
        <f>I13/$E$13</f>
        <v/>
      </c>
      <c r="K13" s="9">
        <f>L13-I13</f>
        <v/>
      </c>
      <c r="L13" s="9" t="n">
        <v>381</v>
      </c>
      <c r="M13" s="10">
        <f>L13/$E$13</f>
        <v/>
      </c>
      <c r="N13" s="9">
        <f>O13-L13</f>
        <v/>
      </c>
      <c r="O13" s="9" t="n">
        <v>385</v>
      </c>
      <c r="P13" s="10">
        <f>O13/$E$13</f>
        <v/>
      </c>
      <c r="Q13" s="9">
        <f>R13-O13</f>
        <v/>
      </c>
      <c r="R13" s="9" t="n">
        <v>389</v>
      </c>
      <c r="S13" s="10">
        <f>R13/$E$13</f>
        <v/>
      </c>
      <c r="T13" s="9">
        <f>U13-R13</f>
        <v/>
      </c>
      <c r="U13" s="9" t="n">
        <v>397</v>
      </c>
      <c r="V13" s="10">
        <f>U13/$E$13</f>
        <v/>
      </c>
      <c r="W13" s="9">
        <f>X13-U13</f>
        <v/>
      </c>
      <c r="X13" s="9" t="n">
        <v>401</v>
      </c>
      <c r="Y13" s="10">
        <f>X13/$E$13</f>
        <v/>
      </c>
      <c r="Z13" s="9">
        <f>AA13-X13</f>
        <v/>
      </c>
      <c r="AA13" s="9" t="n">
        <v>412</v>
      </c>
      <c r="AB13" s="10">
        <f>AA13/$E$13</f>
        <v/>
      </c>
      <c r="AC13" s="9">
        <f>AD13-AA13</f>
        <v/>
      </c>
      <c r="AD13" s="9" t="n">
        <v>421</v>
      </c>
      <c r="AE13" s="10">
        <f>AD13/$E$13</f>
        <v/>
      </c>
      <c r="AF13" s="9">
        <f>AG13-AD13</f>
        <v/>
      </c>
      <c r="AG13" s="9" t="n">
        <v>433</v>
      </c>
      <c r="AH13" s="10">
        <f>AG13/$E$13</f>
        <v/>
      </c>
      <c r="AI13" s="9">
        <f>AJ13-AG13</f>
        <v/>
      </c>
      <c r="AJ13" s="9" t="n">
        <v>460</v>
      </c>
      <c r="AK13" s="10">
        <f>AJ13/$E$13</f>
        <v/>
      </c>
      <c r="AL13" s="9">
        <f>AM13-AJ13</f>
        <v/>
      </c>
      <c r="AM13" s="9" t="n">
        <v>544</v>
      </c>
      <c r="AN13" s="10">
        <f>AM13/$E$13</f>
        <v/>
      </c>
      <c r="AO13" s="9">
        <f>AP13-AM13</f>
        <v/>
      </c>
      <c r="AP13" s="9" t="n">
        <v>573</v>
      </c>
      <c r="AQ13" s="10">
        <f>AP13/$E$13</f>
        <v/>
      </c>
      <c r="AR13" s="9">
        <f>AS13-AP13</f>
        <v/>
      </c>
      <c r="AS13" s="9" t="n">
        <v>591</v>
      </c>
      <c r="AT13" s="10">
        <f>AS13/$E$13</f>
        <v/>
      </c>
      <c r="AU13" s="9">
        <f>AV13-AS13</f>
        <v/>
      </c>
      <c r="AV13" s="9" t="n">
        <v>608</v>
      </c>
      <c r="AW13" s="10">
        <f>AV13/$E$13</f>
        <v/>
      </c>
      <c r="AX13" s="9">
        <f>AY13-AV13</f>
        <v/>
      </c>
      <c r="AY13" s="9" t="n">
        <v>618</v>
      </c>
      <c r="AZ13" s="10">
        <f>AY13/$E$13</f>
        <v/>
      </c>
      <c r="BA13" s="11">
        <f>BB13-AY13</f>
        <v/>
      </c>
      <c r="BB13" s="11" t="n">
        <v>626</v>
      </c>
      <c r="BC13" s="12">
        <f>BB13/$E$13</f>
        <v/>
      </c>
    </row>
    <row r="14">
      <c r="A14" s="7" t="n">
        <v>10</v>
      </c>
      <c r="B14" s="8" t="inlineStr">
        <is>
          <t>RESIDENSI PLATINUM SAUJANA VIOLET 2 (PSV2)</t>
        </is>
      </c>
      <c r="C14" s="7" t="inlineStr">
        <is>
          <t>20253-3</t>
        </is>
      </c>
      <c r="D14" s="8" t="inlineStr">
        <is>
          <t>PEMBINAAN SERTA HEBAT SDN.BHD</t>
        </is>
      </c>
      <c r="E14" s="9" t="n">
        <v>1500</v>
      </c>
      <c r="F14" s="9" t="n">
        <v>0</v>
      </c>
      <c r="G14" s="10">
        <f>F14/$E$14</f>
        <v/>
      </c>
      <c r="H14" s="9">
        <f>I14-F14</f>
        <v/>
      </c>
      <c r="I14" s="9" t="n">
        <v>0</v>
      </c>
      <c r="J14" s="10">
        <f>I14/$E$14</f>
        <v/>
      </c>
      <c r="K14" s="9">
        <f>L14-I14</f>
        <v/>
      </c>
      <c r="L14" s="9" t="n">
        <v>0</v>
      </c>
      <c r="M14" s="10">
        <f>L14/$E$14</f>
        <v/>
      </c>
      <c r="N14" s="9">
        <f>O14-L14</f>
        <v/>
      </c>
      <c r="O14" s="9" t="n">
        <v>0</v>
      </c>
      <c r="P14" s="10">
        <f>O14/$E$14</f>
        <v/>
      </c>
      <c r="Q14" s="9">
        <f>R14-O14</f>
        <v/>
      </c>
      <c r="R14" s="9" t="n">
        <v>0</v>
      </c>
      <c r="S14" s="10">
        <f>R14/$E$14</f>
        <v/>
      </c>
      <c r="T14" s="9">
        <f>U14-R14</f>
        <v/>
      </c>
      <c r="U14" s="9" t="n">
        <v>0</v>
      </c>
      <c r="V14" s="10">
        <f>U14/$E$14</f>
        <v/>
      </c>
      <c r="W14" s="9">
        <f>X14-U14</f>
        <v/>
      </c>
      <c r="X14" s="9" t="n">
        <v>1086</v>
      </c>
      <c r="Y14" s="10">
        <f>X14/$E$14</f>
        <v/>
      </c>
      <c r="Z14" s="9">
        <f>AA14-X14</f>
        <v/>
      </c>
      <c r="AA14" s="9" t="n">
        <v>1096</v>
      </c>
      <c r="AB14" s="10">
        <f>AA14/$E$14</f>
        <v/>
      </c>
      <c r="AC14" s="9">
        <f>AD14-AA14</f>
        <v/>
      </c>
      <c r="AD14" s="9" t="n">
        <v>1100</v>
      </c>
      <c r="AE14" s="10">
        <f>AD14/$E$14</f>
        <v/>
      </c>
      <c r="AF14" s="9">
        <f>AG14-AD14</f>
        <v/>
      </c>
      <c r="AG14" s="9" t="n">
        <v>1110</v>
      </c>
      <c r="AH14" s="10">
        <f>AG14/$E$14</f>
        <v/>
      </c>
      <c r="AI14" s="9">
        <f>AJ14-AG14</f>
        <v/>
      </c>
      <c r="AJ14" s="9" t="n">
        <v>1115</v>
      </c>
      <c r="AK14" s="10">
        <f>AJ14/$E$14</f>
        <v/>
      </c>
      <c r="AL14" s="9">
        <f>AM14-AJ14</f>
        <v/>
      </c>
      <c r="AM14" s="9" t="n">
        <v>1126</v>
      </c>
      <c r="AN14" s="10">
        <f>AM14/$E$14</f>
        <v/>
      </c>
      <c r="AO14" s="9">
        <f>AP14-AM14</f>
        <v/>
      </c>
      <c r="AP14" s="9" t="n">
        <v>1129</v>
      </c>
      <c r="AQ14" s="10">
        <f>AP14/$E$14</f>
        <v/>
      </c>
      <c r="AR14" s="9">
        <f>AS14-AP14</f>
        <v/>
      </c>
      <c r="AS14" s="9" t="n">
        <v>1135</v>
      </c>
      <c r="AT14" s="10">
        <f>AS14/$E$14</f>
        <v/>
      </c>
      <c r="AU14" s="9">
        <f>AV14-AS14</f>
        <v/>
      </c>
      <c r="AV14" s="9" t="n">
        <v>1139</v>
      </c>
      <c r="AW14" s="10">
        <f>AV14/$E$14</f>
        <v/>
      </c>
      <c r="AX14" s="9">
        <f>AY14-AV14</f>
        <v/>
      </c>
      <c r="AY14" s="9" t="n">
        <v>1142</v>
      </c>
      <c r="AZ14" s="10">
        <f>AY14/$E$14</f>
        <v/>
      </c>
      <c r="BA14" s="11">
        <f>BB14-AY14</f>
        <v/>
      </c>
      <c r="BB14" s="11" t="n">
        <v>1151</v>
      </c>
      <c r="BC14" s="12">
        <f>BB14/$E$14</f>
        <v/>
      </c>
    </row>
    <row r="15">
      <c r="A15" s="7" t="n">
        <v>11</v>
      </c>
      <c r="B15" s="8" t="inlineStr">
        <is>
          <t>RESIDENSI VERIDIAN</t>
        </is>
      </c>
      <c r="C15" s="7" t="inlineStr">
        <is>
          <t>30876-1</t>
        </is>
      </c>
      <c r="D15" s="8" t="inlineStr">
        <is>
          <t>PERUMAHAN MASTERON SDN BHD</t>
        </is>
      </c>
      <c r="E15" s="9" t="n">
        <v>551</v>
      </c>
      <c r="F15" s="9" t="n">
        <v>0</v>
      </c>
      <c r="G15" s="10">
        <f>F15/$E$15</f>
        <v/>
      </c>
      <c r="H15" s="9">
        <f>I15-F15</f>
        <v/>
      </c>
      <c r="I15" s="9" t="n">
        <v>0</v>
      </c>
      <c r="J15" s="10">
        <f>I15/$E$15</f>
        <v/>
      </c>
      <c r="K15" s="9">
        <f>L15-I15</f>
        <v/>
      </c>
      <c r="L15" s="9" t="n">
        <v>0</v>
      </c>
      <c r="M15" s="10">
        <f>L15/$E$15</f>
        <v/>
      </c>
      <c r="N15" s="9">
        <f>O15-L15</f>
        <v/>
      </c>
      <c r="O15" s="9" t="n">
        <v>0</v>
      </c>
      <c r="P15" s="10">
        <f>O15/$E$15</f>
        <v/>
      </c>
      <c r="Q15" s="9">
        <f>R15-O15</f>
        <v/>
      </c>
      <c r="R15" s="9" t="n">
        <v>76</v>
      </c>
      <c r="S15" s="10">
        <f>R15/$E$15</f>
        <v/>
      </c>
      <c r="T15" s="9">
        <f>U15-R15</f>
        <v/>
      </c>
      <c r="U15" s="9" t="n">
        <v>77</v>
      </c>
      <c r="V15" s="10">
        <f>U15/$E$15</f>
        <v/>
      </c>
      <c r="W15" s="9">
        <f>X15-U15</f>
        <v/>
      </c>
      <c r="X15" s="9" t="n">
        <v>76</v>
      </c>
      <c r="Y15" s="10">
        <f>X15/$E$15</f>
        <v/>
      </c>
      <c r="Z15" s="9">
        <f>AA15-X15</f>
        <v/>
      </c>
      <c r="AA15" s="9" t="n">
        <v>79</v>
      </c>
      <c r="AB15" s="10">
        <f>AA15/$E$15</f>
        <v/>
      </c>
      <c r="AC15" s="9">
        <f>AD15-AA15</f>
        <v/>
      </c>
      <c r="AD15" s="9" t="n">
        <v>82</v>
      </c>
      <c r="AE15" s="10">
        <f>AD15/$E$15</f>
        <v/>
      </c>
      <c r="AF15" s="9">
        <f>AG15-AD15</f>
        <v/>
      </c>
      <c r="AG15" s="9" t="n">
        <v>86</v>
      </c>
      <c r="AH15" s="10">
        <f>AG15/$E$15</f>
        <v/>
      </c>
      <c r="AI15" s="9">
        <f>AJ15-AG15</f>
        <v/>
      </c>
      <c r="AJ15" s="9" t="n">
        <v>96</v>
      </c>
      <c r="AK15" s="10">
        <f>AJ15/$E$15</f>
        <v/>
      </c>
      <c r="AL15" s="9">
        <f>AM15-AJ15</f>
        <v/>
      </c>
      <c r="AM15" s="9" t="n">
        <v>118</v>
      </c>
      <c r="AN15" s="10">
        <f>AM15/$E$15</f>
        <v/>
      </c>
      <c r="AO15" s="9">
        <f>AP15-AM15</f>
        <v/>
      </c>
      <c r="AP15" s="9" t="n">
        <v>121</v>
      </c>
      <c r="AQ15" s="10">
        <f>AP15/$E$15</f>
        <v/>
      </c>
      <c r="AR15" s="9">
        <f>AS15-AP15</f>
        <v/>
      </c>
      <c r="AS15" s="9" t="n">
        <v>121</v>
      </c>
      <c r="AT15" s="10">
        <f>AS15/$E$15</f>
        <v/>
      </c>
      <c r="AU15" s="9">
        <f>AV15-AS15</f>
        <v/>
      </c>
      <c r="AV15" s="9" t="n">
        <v>124</v>
      </c>
      <c r="AW15" s="10">
        <f>AV15/$E$15</f>
        <v/>
      </c>
      <c r="AX15" s="9">
        <f>AY15-AV15</f>
        <v/>
      </c>
      <c r="AY15" s="9" t="n">
        <v>125</v>
      </c>
      <c r="AZ15" s="10">
        <f>AY15/$E$15</f>
        <v/>
      </c>
      <c r="BA15" s="11">
        <f>BB15-AY15</f>
        <v/>
      </c>
      <c r="BB15" s="11" t="n">
        <v>127</v>
      </c>
      <c r="BC15" s="12">
        <f>BB15/$E$15</f>
        <v/>
      </c>
    </row>
    <row r="16">
      <c r="A16" s="7" t="n">
        <v>12</v>
      </c>
      <c r="B16" s="8" t="inlineStr">
        <is>
          <t>RESIDENSI AURUM</t>
        </is>
      </c>
      <c r="C16" s="7" t="inlineStr">
        <is>
          <t>30250-2</t>
        </is>
      </c>
      <c r="D16" s="8" t="inlineStr">
        <is>
          <t>AMBER HOMES SRI PETALING SDN BHD</t>
        </is>
      </c>
      <c r="E16" s="9" t="n">
        <v>661</v>
      </c>
      <c r="F16" s="9" t="n">
        <v>0</v>
      </c>
      <c r="G16" s="10">
        <f>F16/$E$16</f>
        <v/>
      </c>
      <c r="H16" s="9" t="n"/>
      <c r="I16" s="9" t="n"/>
      <c r="J16" s="10" t="n"/>
      <c r="K16" s="9" t="n"/>
      <c r="L16" s="9" t="n"/>
      <c r="M16" s="10" t="n"/>
      <c r="N16" s="9" t="n"/>
      <c r="O16" s="9" t="n"/>
      <c r="P16" s="10" t="n"/>
      <c r="Q16" s="9" t="n"/>
      <c r="R16" s="9" t="n"/>
      <c r="S16" s="10" t="n"/>
      <c r="T16" s="9" t="n"/>
      <c r="U16" s="9" t="n"/>
      <c r="V16" s="10" t="n"/>
      <c r="W16" s="9" t="n"/>
      <c r="X16" s="9" t="n"/>
      <c r="Y16" s="10" t="n"/>
      <c r="Z16" s="9" t="n"/>
      <c r="AA16" s="9" t="n"/>
      <c r="AB16" s="10" t="n"/>
      <c r="AC16" s="9" t="n"/>
      <c r="AD16" s="9" t="n"/>
      <c r="AE16" s="10" t="n"/>
      <c r="AF16" s="9">
        <f>AG16-F16</f>
        <v/>
      </c>
      <c r="AG16" s="9" t="n">
        <v>659</v>
      </c>
      <c r="AH16" s="10">
        <f>AG16/$E$16</f>
        <v/>
      </c>
      <c r="AI16" s="9">
        <f>AJ16-AG16</f>
        <v/>
      </c>
      <c r="AJ16" s="9" t="n">
        <v>659</v>
      </c>
      <c r="AK16" s="10">
        <f>AJ16/$E$16</f>
        <v/>
      </c>
      <c r="AL16" s="9">
        <f>AM16-AJ16</f>
        <v/>
      </c>
      <c r="AM16" s="9" t="n">
        <v>659</v>
      </c>
      <c r="AN16" s="10">
        <f>AM16/$E$16</f>
        <v/>
      </c>
      <c r="AO16" s="9">
        <f>AP16-AM16</f>
        <v/>
      </c>
      <c r="AP16" s="9" t="n">
        <v>659</v>
      </c>
      <c r="AQ16" s="10">
        <f>AP16/$E$16</f>
        <v/>
      </c>
      <c r="AR16" s="9">
        <f>AS16-AP16</f>
        <v/>
      </c>
      <c r="AS16" s="9" t="n">
        <v>659</v>
      </c>
      <c r="AT16" s="10">
        <f>AS16/$E$16</f>
        <v/>
      </c>
      <c r="AU16" s="9">
        <f>AV16-AS16</f>
        <v/>
      </c>
      <c r="AV16" s="9" t="n">
        <v>659</v>
      </c>
      <c r="AW16" s="10">
        <f>AV16/$E$16</f>
        <v/>
      </c>
      <c r="AX16" s="9">
        <f>AY16-AV16</f>
        <v/>
      </c>
      <c r="AY16" s="9" t="n">
        <v>659</v>
      </c>
      <c r="AZ16" s="10">
        <f>AY16/$E$16</f>
        <v/>
      </c>
      <c r="BA16" s="11">
        <f>BB16-AY16</f>
        <v/>
      </c>
      <c r="BB16" s="11" t="n">
        <v>659</v>
      </c>
      <c r="BC16" s="12">
        <f>BB16/$E$16</f>
        <v/>
      </c>
    </row>
    <row r="17">
      <c r="A17" s="7" t="n">
        <v>13</v>
      </c>
      <c r="B17" s="8" t="inlineStr">
        <is>
          <t>THE SHANG RESIDENCE</t>
        </is>
      </c>
      <c r="C17" s="7" t="inlineStr"/>
      <c r="D17" s="8" t="inlineStr">
        <is>
          <t>SHANG HEIGHT REALTY SDN. BHD.</t>
        </is>
      </c>
      <c r="E17" s="9" t="n">
        <v>449</v>
      </c>
      <c r="F17" s="9" t="n"/>
      <c r="G17" s="10" t="n"/>
      <c r="H17" s="9" t="n"/>
      <c r="I17" s="9" t="n"/>
      <c r="J17" s="10" t="n"/>
      <c r="K17" s="9" t="n"/>
      <c r="L17" s="9" t="n"/>
      <c r="M17" s="10" t="n"/>
      <c r="N17" s="9" t="n"/>
      <c r="O17" s="9" t="n"/>
      <c r="P17" s="10" t="n"/>
      <c r="Q17" s="9" t="n"/>
      <c r="R17" s="9" t="n"/>
      <c r="S17" s="10" t="n"/>
      <c r="T17" s="9" t="n"/>
      <c r="U17" s="9" t="n"/>
      <c r="V17" s="10" t="n"/>
      <c r="W17" s="9" t="n"/>
      <c r="X17" s="9" t="n"/>
      <c r="Y17" s="10" t="n"/>
      <c r="Z17" s="9" t="n"/>
      <c r="AA17" s="9" t="n"/>
      <c r="AB17" s="10" t="n"/>
      <c r="AC17" s="9" t="n"/>
      <c r="AD17" s="9" t="n"/>
      <c r="AE17" s="10" t="n"/>
      <c r="AF17" s="9" t="n"/>
      <c r="AG17" s="9" t="n"/>
      <c r="AH17" s="10" t="n"/>
      <c r="AI17" s="9" t="n"/>
      <c r="AJ17" s="9" t="n"/>
      <c r="AK17" s="10" t="n"/>
      <c r="AL17" s="9" t="n"/>
      <c r="AM17" s="9" t="n"/>
      <c r="AN17" s="10" t="n"/>
      <c r="AO17" s="9" t="n"/>
      <c r="AP17" s="9" t="n"/>
      <c r="AQ17" s="10" t="n"/>
      <c r="AR17" s="9" t="n"/>
      <c r="AS17" s="9" t="n"/>
      <c r="AT17" s="10" t="n"/>
      <c r="AU17" s="9" t="n"/>
      <c r="AV17" s="9" t="n"/>
      <c r="AW17" s="10" t="n"/>
      <c r="AX17" s="9" t="n"/>
      <c r="AY17" s="9" t="n"/>
      <c r="AZ17" s="10" t="n"/>
      <c r="BA17" s="11" t="n"/>
      <c r="BB17" s="11" t="n"/>
      <c r="BC17" s="12" t="n"/>
    </row>
    <row r="18">
      <c r="A18" s="7" t="n">
        <v>14</v>
      </c>
      <c r="B18" s="8" t="inlineStr">
        <is>
          <t>BINASTRA COCHRANE</t>
        </is>
      </c>
      <c r="C18" s="7" t="inlineStr">
        <is>
          <t>31332-1</t>
        </is>
      </c>
      <c r="D18" s="8" t="inlineStr">
        <is>
          <t>BINASTRA SYNERGY SDN. BHD.</t>
        </is>
      </c>
      <c r="E18" s="9" t="n">
        <v>830</v>
      </c>
      <c r="F18" s="9" t="n"/>
      <c r="G18" s="10" t="n"/>
      <c r="H18" s="9" t="n"/>
      <c r="I18" s="9" t="n"/>
      <c r="J18" s="10" t="n"/>
      <c r="K18" s="9" t="n"/>
      <c r="L18" s="9" t="n"/>
      <c r="M18" s="10" t="n"/>
      <c r="N18" s="9" t="n"/>
      <c r="O18" s="9" t="n"/>
      <c r="P18" s="10" t="n"/>
      <c r="Q18" s="9" t="n"/>
      <c r="R18" s="9" t="n"/>
      <c r="S18" s="10" t="n"/>
      <c r="T18" s="9" t="n"/>
      <c r="U18" s="9" t="n"/>
      <c r="V18" s="10" t="n"/>
      <c r="W18" s="9" t="n"/>
      <c r="X18" s="9" t="n"/>
      <c r="Y18" s="10" t="n"/>
      <c r="Z18" s="9" t="n"/>
      <c r="AA18" s="9" t="n"/>
      <c r="AB18" s="10" t="n"/>
      <c r="AC18" s="9" t="n"/>
      <c r="AD18" s="9" t="n"/>
      <c r="AE18" s="10" t="n"/>
      <c r="AF18" s="9" t="n"/>
      <c r="AG18" s="9" t="n"/>
      <c r="AH18" s="10" t="n"/>
      <c r="AI18" s="9" t="n"/>
      <c r="AJ18" s="9" t="n"/>
      <c r="AK18" s="10" t="n"/>
      <c r="AL18" s="9" t="n"/>
      <c r="AM18" s="9" t="n"/>
      <c r="AN18" s="10" t="n"/>
      <c r="AO18" s="9" t="n"/>
      <c r="AP18" s="9" t="n"/>
      <c r="AQ18" s="10" t="n"/>
      <c r="AR18" s="9" t="n"/>
      <c r="AS18" s="9" t="n"/>
      <c r="AT18" s="10" t="n"/>
      <c r="AU18" s="9" t="n"/>
      <c r="AV18" s="9" t="n"/>
      <c r="AW18" s="10" t="n"/>
      <c r="AX18" s="9" t="n"/>
      <c r="AY18" s="9" t="n">
        <v>139</v>
      </c>
      <c r="AZ18" s="10">
        <f>AY18/$E$18</f>
        <v/>
      </c>
      <c r="BA18" s="11">
        <f>BB18-AY18</f>
        <v/>
      </c>
      <c r="BB18" s="11" t="n">
        <v>191</v>
      </c>
      <c r="BC18" s="12">
        <f>BB18/$E$18</f>
        <v/>
      </c>
    </row>
  </sheetData>
  <mergeCells count="17">
    <mergeCell ref="F3:G3"/>
    <mergeCell ref="AU3:AW3"/>
    <mergeCell ref="BA3:BC3"/>
    <mergeCell ref="W3:Y3"/>
    <mergeCell ref="AR3:AT3"/>
    <mergeCell ref="AI3:AK3"/>
    <mergeCell ref="T3:V3"/>
    <mergeCell ref="AC3:AE3"/>
    <mergeCell ref="AF3:AH3"/>
    <mergeCell ref="AX3:AZ3"/>
    <mergeCell ref="K3:M3"/>
    <mergeCell ref="H3:J3"/>
    <mergeCell ref="Z3:AB3"/>
    <mergeCell ref="AL3:AN3"/>
    <mergeCell ref="AO3:AQ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2026-08-22T08:01:46Z</dcterms:created>
  <dcterms:modified xsi:type="dcterms:W3CDTF">2026-08-22T08:01:46Z</dcterms:modified>
</cp:coreProperties>
</file>