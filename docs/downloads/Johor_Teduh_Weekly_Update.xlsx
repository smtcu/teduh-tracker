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4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P2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46" customWidth="1" min="42" max="42"/>
  </cols>
  <sheetData>
    <row r="2">
      <c r="A2" s="1" t="inlineStr">
        <is>
          <t>Report as at 04/09/2026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3" t="n">
        <v>46262</v>
      </c>
      <c r="AM3" s="4" t="n">
        <v>46269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TOTAL %</t>
        </is>
      </c>
      <c r="AM4" s="6" t="inlineStr">
        <is>
          <t>NEW SALES</t>
        </is>
      </c>
      <c r="AN4" s="6" t="inlineStr">
        <is>
          <t>TOTAL SOLD</t>
        </is>
      </c>
      <c r="AO4" s="6" t="inlineStr">
        <is>
          <t>TOTAL %</t>
        </is>
      </c>
      <c r="AP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2">
        <f>AK6-AH6</f>
        <v/>
      </c>
      <c r="AK6" s="12" t="n">
        <v>307</v>
      </c>
      <c r="AL6" s="13">
        <f>AK6/$D$6</f>
        <v/>
      </c>
      <c r="AM6" s="14">
        <f>AN6-AK6</f>
        <v/>
      </c>
      <c r="AN6" s="14" t="n">
        <v>310</v>
      </c>
      <c r="AO6" s="15">
        <f>AN6/$D$6</f>
        <v/>
      </c>
      <c r="AP6" s="10" t="inlineStr">
        <is>
          <t>Latest sales - Block A: 193 units, Block B: 117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2">
        <f>AK7-AH7</f>
        <v/>
      </c>
      <c r="AK7" s="12" t="n">
        <v>972</v>
      </c>
      <c r="AL7" s="13">
        <f>AK7/$D$7</f>
        <v/>
      </c>
      <c r="AM7" s="14">
        <f>AN7-AK7</f>
        <v/>
      </c>
      <c r="AN7" s="14" t="n">
        <v>975</v>
      </c>
      <c r="AO7" s="15">
        <f>AN7/$D$7</f>
        <v/>
      </c>
      <c r="AP7" s="10" t="inlineStr">
        <is>
          <t>Latest sales - Block A: 400 units, Block B: 377 units, Block C: 89 units, Block D: 109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2">
        <f>AK8-AH8</f>
        <v/>
      </c>
      <c r="AK8" s="12" t="n">
        <v>49</v>
      </c>
      <c r="AL8" s="13">
        <f>AK8/$D$8</f>
        <v/>
      </c>
      <c r="AM8" s="14">
        <f>AN8-AK8</f>
        <v/>
      </c>
      <c r="AN8" s="14" t="n">
        <v>52</v>
      </c>
      <c r="AO8" s="15">
        <f>AN8/$D$8</f>
        <v/>
      </c>
      <c r="AP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2">
        <f>AK9-AH9</f>
        <v/>
      </c>
      <c r="AK9" s="12" t="n">
        <v>1062</v>
      </c>
      <c r="AL9" s="13">
        <f>AK9/$D$9</f>
        <v/>
      </c>
      <c r="AM9" s="14">
        <f>AN9-AK9</f>
        <v/>
      </c>
      <c r="AN9" s="14" t="n">
        <v>1068</v>
      </c>
      <c r="AO9" s="15">
        <f>AN9/$D$9</f>
        <v/>
      </c>
      <c r="AP9" s="10" t="inlineStr">
        <is>
          <t>Latest sales - Phase 1: 668 units, Phase 2: 400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2">
        <f>AK11-AH11</f>
        <v/>
      </c>
      <c r="AK11" s="12" t="n">
        <v>845</v>
      </c>
      <c r="AL11" s="13">
        <f>AK11/$D$11</f>
        <v/>
      </c>
      <c r="AM11" s="14">
        <f>AN11-AK11</f>
        <v/>
      </c>
      <c r="AN11" s="14" t="n">
        <v>845</v>
      </c>
      <c r="AO11" s="15">
        <f>AN11/$D$11</f>
        <v/>
      </c>
      <c r="AP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4525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2">
        <f>AK12-AH12</f>
        <v/>
      </c>
      <c r="AK12" s="12" t="n">
        <v>1497</v>
      </c>
      <c r="AL12" s="13">
        <f>AK12/$D$12</f>
        <v/>
      </c>
      <c r="AM12" s="14">
        <f>AN12-AK12</f>
        <v/>
      </c>
      <c r="AN12" s="14" t="n">
        <v>1503</v>
      </c>
      <c r="AO12" s="15">
        <f>AN12/$D$12</f>
        <v/>
      </c>
      <c r="AP12" s="10" t="inlineStr">
        <is>
          <t>Open sale for Block A, B &amp; D only. Block C (833 units) is not opened yet. Latest sales - Block A: 497 units, Block B: 531 units, Block D: 475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2">
        <f>AK13-AH13</f>
        <v/>
      </c>
      <c r="AK13" s="12" t="n">
        <v>1006</v>
      </c>
      <c r="AL13" s="13">
        <f>AK13/$D$13</f>
        <v/>
      </c>
      <c r="AM13" s="14">
        <f>AN13-AK13</f>
        <v/>
      </c>
      <c r="AN13" s="14" t="n">
        <v>1011</v>
      </c>
      <c r="AO13" s="15">
        <f>AN13/$D$13</f>
        <v/>
      </c>
      <c r="AP13" s="10" t="inlineStr">
        <is>
          <t>Latest sales - Block A: 403 units, Block B: 371 units, Block C: 237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2">
        <f>AK14-AH14</f>
        <v/>
      </c>
      <c r="AK14" s="12" t="n">
        <v>756</v>
      </c>
      <c r="AL14" s="13">
        <f>AK14/$D$14</f>
        <v/>
      </c>
      <c r="AM14" s="14">
        <f>AN14-AK14</f>
        <v/>
      </c>
      <c r="AN14" s="14" t="n">
        <v>762</v>
      </c>
      <c r="AO14" s="15">
        <f>AN14/$D$14</f>
        <v/>
      </c>
      <c r="AP14" s="10" t="inlineStr">
        <is>
          <t>Latest sales - Block A: 501 units, Block B: 261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2">
        <f>AK15-AH15</f>
        <v/>
      </c>
      <c r="AK15" s="12" t="n">
        <v>1396</v>
      </c>
      <c r="AL15" s="13">
        <f>AK15/$D$15</f>
        <v/>
      </c>
      <c r="AM15" s="14">
        <f>AN15-AK15</f>
        <v/>
      </c>
      <c r="AN15" s="14" t="n">
        <v>1400</v>
      </c>
      <c r="AO15" s="15">
        <f>AN15/$D$15</f>
        <v/>
      </c>
      <c r="AP15" s="10" t="inlineStr">
        <is>
          <t>Latest sales - Block A: 728 units, Block B: 672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2">
        <f>AK16-AH16</f>
        <v/>
      </c>
      <c r="AK16" s="12" t="n">
        <v>908</v>
      </c>
      <c r="AL16" s="13">
        <f>AK16/$D$16</f>
        <v/>
      </c>
      <c r="AM16" s="14">
        <f>AN16-AK16</f>
        <v/>
      </c>
      <c r="AN16" s="14" t="n">
        <v>908</v>
      </c>
      <c r="AO16" s="15">
        <f>AN16/$D$16</f>
        <v/>
      </c>
      <c r="AP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2" t="n"/>
      <c r="AK17" s="12" t="n"/>
      <c r="AL17" s="13" t="n"/>
      <c r="AM17" s="14" t="n"/>
      <c r="AN17" s="14" t="n"/>
      <c r="AO17" s="15" t="n"/>
      <c r="AP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2">
        <f>AK18-AH18</f>
        <v/>
      </c>
      <c r="AK18" s="12" t="n">
        <v>725</v>
      </c>
      <c r="AL18" s="13">
        <f>AK18/$D$18</f>
        <v/>
      </c>
      <c r="AM18" s="14">
        <f>AN18-AK18</f>
        <v/>
      </c>
      <c r="AN18" s="14" t="n">
        <v>727</v>
      </c>
      <c r="AO18" s="15">
        <f>AN18/$D$18</f>
        <v/>
      </c>
      <c r="AP18" s="10" t="inlineStr">
        <is>
          <t>Latest sales - Block A: 440 units, Block B: 287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2">
        <f>AK19-AH19</f>
        <v/>
      </c>
      <c r="AK19" s="12" t="n">
        <v>390</v>
      </c>
      <c r="AL19" s="13">
        <f>AK19/$D$19</f>
        <v/>
      </c>
      <c r="AM19" s="14">
        <f>AN19-AK19</f>
        <v/>
      </c>
      <c r="AN19" s="14" t="n">
        <v>393</v>
      </c>
      <c r="AO19" s="15">
        <f>AN19/$D$19</f>
        <v/>
      </c>
      <c r="AP19" s="10" t="inlineStr">
        <is>
          <t>Latest sales - Block A: 297 units, Block B: 96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2">
        <f>AK20-AH20</f>
        <v/>
      </c>
      <c r="AK20" s="12" t="n">
        <v>306</v>
      </c>
      <c r="AL20" s="13">
        <f>AK20/$D$20</f>
        <v/>
      </c>
      <c r="AM20" s="14">
        <f>AN20-AK20</f>
        <v/>
      </c>
      <c r="AN20" s="14" t="n">
        <v>314</v>
      </c>
      <c r="AO20" s="15">
        <f>AN20/$D$20</f>
        <v/>
      </c>
      <c r="AP20" s="10" t="inlineStr">
        <is>
          <t>Latest sales - Block A: 219 units, Block B: 95 units</t>
        </is>
      </c>
    </row>
  </sheetData>
  <mergeCells count="12">
    <mergeCell ref="R3:T3"/>
    <mergeCell ref="U3:W3"/>
    <mergeCell ref="AD3:AF3"/>
    <mergeCell ref="X3:Z3"/>
    <mergeCell ref="AG3:AI3"/>
    <mergeCell ref="AJ3:AL3"/>
    <mergeCell ref="I3:K3"/>
    <mergeCell ref="F3:H3"/>
    <mergeCell ref="L3:N3"/>
    <mergeCell ref="AA3:AC3"/>
    <mergeCell ref="O3:Q3"/>
    <mergeCell ref="AM3:A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2026-09-04T23:36:28Z</dcterms:created>
  <dcterms:modified xsi:type="dcterms:W3CDTF">2026-09-04T23:36:28Z</dcterms:modified>
</cp:coreProperties>
</file>