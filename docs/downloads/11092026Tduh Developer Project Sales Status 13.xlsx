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</cols>
  <sheetData>
    <row r="2">
      <c r="A2" s="1" t="inlineStr">
        <is>
          <t>Report as at 11/09/2026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3" t="n">
        <v>46262</v>
      </c>
      <c r="BH3" s="3" t="n">
        <v>46269</v>
      </c>
      <c r="BK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5" t="inlineStr">
        <is>
          <t xml:space="preserve">NEW SALES </t>
        </is>
      </c>
      <c r="BF4" s="5" t="inlineStr">
        <is>
          <t>TOTAL SOLD</t>
        </is>
      </c>
      <c r="BG4" s="5" t="inlineStr">
        <is>
          <t>%</t>
        </is>
      </c>
      <c r="BH4" s="5" t="inlineStr">
        <is>
          <t xml:space="preserve">NEW SALES </t>
        </is>
      </c>
      <c r="BI4" s="5" t="inlineStr">
        <is>
          <t>TOTAL SOLD</t>
        </is>
      </c>
      <c r="BJ4" s="5" t="inlineStr">
        <is>
          <t>%</t>
        </is>
      </c>
      <c r="BK4" s="6" t="inlineStr">
        <is>
          <t xml:space="preserve">NEW SALES </t>
        </is>
      </c>
      <c r="BL4" s="6" t="inlineStr">
        <is>
          <t>TOTAL SOLD</t>
        </is>
      </c>
      <c r="BM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0">
        <f>BF5-BC5</f>
        <v/>
      </c>
      <c r="BF5" s="10" t="n">
        <v>188</v>
      </c>
      <c r="BG5" s="11">
        <f>BF5/$D$5</f>
        <v/>
      </c>
      <c r="BH5" s="10">
        <f>BI5-BF5</f>
        <v/>
      </c>
      <c r="BI5" s="10" t="n">
        <v>192</v>
      </c>
      <c r="BJ5" s="11">
        <f>BI5/$D$5</f>
        <v/>
      </c>
      <c r="BK5" s="12">
        <f>BL5-BI5</f>
        <v/>
      </c>
      <c r="BL5" s="12" t="n">
        <v>208</v>
      </c>
      <c r="BM5" s="13">
        <f>BL5/$D$5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0">
        <f>BF6-BC6</f>
        <v/>
      </c>
      <c r="BF6" s="10" t="n">
        <v>355</v>
      </c>
      <c r="BG6" s="11">
        <f>BF6/$D$6</f>
        <v/>
      </c>
      <c r="BH6" s="10">
        <f>BI6-BF6</f>
        <v/>
      </c>
      <c r="BI6" s="10" t="n">
        <v>365</v>
      </c>
      <c r="BJ6" s="11">
        <f>BI6/$D$6</f>
        <v/>
      </c>
      <c r="BK6" s="12">
        <f>BL6-BI6</f>
        <v/>
      </c>
      <c r="BL6" s="12" t="n">
        <v>385</v>
      </c>
      <c r="BM6" s="13">
        <f>BL6/$D$6</f>
        <v/>
      </c>
    </row>
    <row r="7">
      <c r="A7" s="7" t="n">
        <v>3</v>
      </c>
      <c r="B7" s="8" t="inlineStr">
        <is>
          <t>ARTE STAR 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0">
        <f>BF7-BC7</f>
        <v/>
      </c>
      <c r="BF7" s="10" t="n">
        <v>128</v>
      </c>
      <c r="BG7" s="11">
        <f>BF7/$D$7</f>
        <v/>
      </c>
      <c r="BH7" s="10">
        <f>BI7-BF7</f>
        <v/>
      </c>
      <c r="BI7" s="10" t="n">
        <v>131</v>
      </c>
      <c r="BJ7" s="11">
        <f>BI7/$D$7</f>
        <v/>
      </c>
      <c r="BK7" s="12">
        <f>BL7-BI7</f>
        <v/>
      </c>
      <c r="BL7" s="12" t="n">
        <v>136</v>
      </c>
      <c r="BM7" s="13">
        <f>BL7/$D$7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0">
        <f>BF8-BC8</f>
        <v/>
      </c>
      <c r="BF8" s="10" t="n">
        <v>1009</v>
      </c>
      <c r="BG8" s="11">
        <f>BF8/$D$8</f>
        <v/>
      </c>
      <c r="BH8" s="10">
        <f>BI8-BF8</f>
        <v/>
      </c>
      <c r="BI8" s="10" t="n">
        <v>1013</v>
      </c>
      <c r="BJ8" s="11">
        <f>BI8/$D$8</f>
        <v/>
      </c>
      <c r="BK8" s="12">
        <f>BL8-BI8</f>
        <v/>
      </c>
      <c r="BL8" s="12" t="n">
        <v>1019</v>
      </c>
      <c r="BM8" s="13">
        <f>BL8/$D$8</f>
        <v/>
      </c>
    </row>
    <row r="9">
      <c r="A9" s="7" t="n">
        <v>5</v>
      </c>
      <c r="B9" s="8" t="inlineStr">
        <is>
          <t>RESIDENSI DESA TIMUR 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0">
        <f>BF9-BC9</f>
        <v/>
      </c>
      <c r="BF9" s="10" t="n">
        <v>1126</v>
      </c>
      <c r="BG9" s="11">
        <f>BF9/$D$9</f>
        <v/>
      </c>
      <c r="BH9" s="10">
        <f>BI9-BF9</f>
        <v/>
      </c>
      <c r="BI9" s="10" t="n">
        <v>1128</v>
      </c>
      <c r="BJ9" s="11">
        <f>BI9/$D$9</f>
        <v/>
      </c>
      <c r="BK9" s="12">
        <f>BL9-BI9</f>
        <v/>
      </c>
      <c r="BL9" s="12" t="n">
        <v>1130</v>
      </c>
      <c r="BM9" s="13">
        <f>BL9/$D$9</f>
        <v/>
      </c>
    </row>
    <row r="10">
      <c r="A10" s="7" t="n">
        <v>6</v>
      </c>
      <c r="B10" s="8" t="inlineStr">
        <is>
          <t>RADIUM ARENA 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0">
        <f>BF10-BC10</f>
        <v/>
      </c>
      <c r="BF10" s="10" t="n">
        <v>519</v>
      </c>
      <c r="BG10" s="11">
        <f>BF10/$D$10</f>
        <v/>
      </c>
      <c r="BH10" s="10">
        <f>BI10-BF10</f>
        <v/>
      </c>
      <c r="BI10" s="10" t="n">
        <v>521</v>
      </c>
      <c r="BJ10" s="11">
        <f>BI10/$D$10</f>
        <v/>
      </c>
      <c r="BK10" s="12">
        <f>BL10-BI10</f>
        <v/>
      </c>
      <c r="BL10" s="12" t="n">
        <v>525</v>
      </c>
      <c r="BM10" s="13">
        <f>BL10/$D$10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0">
        <f>BF11-BC11</f>
        <v/>
      </c>
      <c r="BF11" s="10" t="n">
        <v>467</v>
      </c>
      <c r="BG11" s="11">
        <f>BF11/$D$11</f>
        <v/>
      </c>
      <c r="BH11" s="10">
        <f>BI11-BF11</f>
        <v/>
      </c>
      <c r="BI11" s="10" t="n">
        <v>469</v>
      </c>
      <c r="BJ11" s="11">
        <f>BI11/$D$11</f>
        <v/>
      </c>
      <c r="BK11" s="12">
        <f>BL11-BI11</f>
        <v/>
      </c>
      <c r="BL11" s="12" t="n">
        <v>470</v>
      </c>
      <c r="BM11" s="13">
        <f>BL11/$D$11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0">
        <f>BF12-BC12</f>
        <v/>
      </c>
      <c r="BF12" s="10" t="n">
        <v>237</v>
      </c>
      <c r="BG12" s="11">
        <f>BF12/$D$12</f>
        <v/>
      </c>
      <c r="BH12" s="10">
        <f>BI12-BF12</f>
        <v/>
      </c>
      <c r="BI12" s="10" t="n">
        <v>238</v>
      </c>
      <c r="BJ12" s="11">
        <f>BI12/$D$12</f>
        <v/>
      </c>
      <c r="BK12" s="12">
        <f>BL12-BI12</f>
        <v/>
      </c>
      <c r="BL12" s="12" t="n">
        <v>238</v>
      </c>
      <c r="BM12" s="13">
        <f>BL12/$D$12</f>
        <v/>
      </c>
    </row>
    <row r="13">
      <c r="A13" s="7" t="n">
        <v>9</v>
      </c>
      <c r="B13" s="8" t="inlineStr">
        <is>
          <t>RESIDENSI 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0">
        <f>BF13-BC13</f>
        <v/>
      </c>
      <c r="BF13" s="10" t="n">
        <v>647</v>
      </c>
      <c r="BG13" s="11">
        <f>BF13/$D$13</f>
        <v/>
      </c>
      <c r="BH13" s="10">
        <f>BI13-BF13</f>
        <v/>
      </c>
      <c r="BI13" s="10" t="n">
        <v>653</v>
      </c>
      <c r="BJ13" s="11">
        <f>BI13/$D$13</f>
        <v/>
      </c>
      <c r="BK13" s="12">
        <f>BL13-BI13</f>
        <v/>
      </c>
      <c r="BL13" s="12" t="n">
        <v>671</v>
      </c>
      <c r="BM13" s="13">
        <f>BL13/$D$13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0">
        <f>BF14-BC14</f>
        <v/>
      </c>
      <c r="BF14" s="10" t="n">
        <v>1157</v>
      </c>
      <c r="BG14" s="11">
        <f>BF14/$D$14</f>
        <v/>
      </c>
      <c r="BH14" s="10">
        <f>BI14-BF14</f>
        <v/>
      </c>
      <c r="BI14" s="10" t="n">
        <v>1163</v>
      </c>
      <c r="BJ14" s="11">
        <f>BI14/$D$14</f>
        <v/>
      </c>
      <c r="BK14" s="12">
        <f>BL14-BI14</f>
        <v/>
      </c>
      <c r="BL14" s="12" t="n">
        <v>1169</v>
      </c>
      <c r="BM14" s="13">
        <f>BL14/$D$14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0">
        <f>BF15-BC15</f>
        <v/>
      </c>
      <c r="BF15" s="10" t="n">
        <v>134</v>
      </c>
      <c r="BG15" s="11">
        <f>BF15/$D$15</f>
        <v/>
      </c>
      <c r="BH15" s="10">
        <f>BI15-BF15</f>
        <v/>
      </c>
      <c r="BI15" s="10" t="n">
        <v>138</v>
      </c>
      <c r="BJ15" s="11">
        <f>BI15/$D$15</f>
        <v/>
      </c>
      <c r="BK15" s="12">
        <f>BL15-BI15</f>
        <v/>
      </c>
      <c r="BL15" s="12" t="n">
        <v>141</v>
      </c>
      <c r="BM15" s="13">
        <f>BL15/$D$15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0">
        <f>BF16-BC16</f>
        <v/>
      </c>
      <c r="BF16" s="10" t="n">
        <v>659</v>
      </c>
      <c r="BG16" s="11">
        <f>BF16/$D$16</f>
        <v/>
      </c>
      <c r="BH16" s="10">
        <f>BI16-BF16</f>
        <v/>
      </c>
      <c r="BI16" s="10" t="n">
        <v>659</v>
      </c>
      <c r="BJ16" s="11">
        <f>BI16/$D$16</f>
        <v/>
      </c>
      <c r="BK16" s="12">
        <f>BL16-BI16</f>
        <v/>
      </c>
      <c r="BL16" s="12" t="n">
        <v>659</v>
      </c>
      <c r="BM16" s="13">
        <f>BL16/$D$16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0" t="n"/>
      <c r="BF17" s="10" t="n"/>
      <c r="BG17" s="11" t="n"/>
      <c r="BH17" s="10" t="n"/>
      <c r="BI17" s="10" t="n"/>
      <c r="BJ17" s="11" t="n"/>
      <c r="BK17" s="12" t="n"/>
      <c r="BL17" s="12" t="n"/>
      <c r="BM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0">
        <f>BF18-BC18</f>
        <v/>
      </c>
      <c r="BF18" s="10" t="n">
        <v>260</v>
      </c>
      <c r="BG18" s="11">
        <f>BF18/$D$18</f>
        <v/>
      </c>
      <c r="BH18" s="10">
        <f>BI18-BF18</f>
        <v/>
      </c>
      <c r="BI18" s="10" t="n">
        <v>303</v>
      </c>
      <c r="BJ18" s="11">
        <f>BI18/$D$18</f>
        <v/>
      </c>
      <c r="BK18" s="12">
        <f>BL18-BI18</f>
        <v/>
      </c>
      <c r="BL18" s="12" t="n">
        <v>358</v>
      </c>
      <c r="BM18" s="13">
        <f>BL18/$D$18</f>
        <v/>
      </c>
    </row>
  </sheetData>
  <mergeCells count="20">
    <mergeCell ref="X3:Z3"/>
    <mergeCell ref="AJ3:AL3"/>
    <mergeCell ref="I3:K3"/>
    <mergeCell ref="U3:W3"/>
    <mergeCell ref="BK3:BM3"/>
    <mergeCell ref="R3:T3"/>
    <mergeCell ref="AG3:AI3"/>
    <mergeCell ref="AA3:AC3"/>
    <mergeCell ref="G3:H3"/>
    <mergeCell ref="AM3:AO3"/>
    <mergeCell ref="AS3:AU3"/>
    <mergeCell ref="AD3:AF3"/>
    <mergeCell ref="AY3:BA3"/>
    <mergeCell ref="BE3:BG3"/>
    <mergeCell ref="AP3:AR3"/>
    <mergeCell ref="O3:Q3"/>
    <mergeCell ref="BB3:BD3"/>
    <mergeCell ref="AV3:AX3"/>
    <mergeCell ref="L3:N3"/>
    <mergeCell ref="BH3:B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2026-09-11T00:08:46Z</dcterms:created>
  <dcterms:modified xsi:type="dcterms:W3CDTF">2026-09-11T00:08:46Z</dcterms:modified>
</cp:coreProperties>
</file>