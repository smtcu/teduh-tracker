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46" customWidth="1" min="38" max="38"/>
  </cols>
  <sheetData>
    <row r="2">
      <c r="A2" s="1" t="inlineStr">
        <is>
          <t>Report as at 29/08/2026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3" t="n">
        <v>46255</v>
      </c>
      <c r="A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5" t="inlineStr">
        <is>
          <t>NEW SALES</t>
        </is>
      </c>
      <c r="AG4" s="5" t="inlineStr">
        <is>
          <t>TOTAL SOLD</t>
        </is>
      </c>
      <c r="AH4" s="5" t="inlineStr">
        <is>
          <t>TOTAL %</t>
        </is>
      </c>
      <c r="AI4" s="6" t="inlineStr">
        <is>
          <t>NEW SALES</t>
        </is>
      </c>
      <c r="AJ4" s="6" t="inlineStr">
        <is>
          <t>TOTAL SOLD</t>
        </is>
      </c>
      <c r="AK4" s="6" t="inlineStr">
        <is>
          <t>TOTAL %</t>
        </is>
      </c>
      <c r="AL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1">
        <f>AG6-AD6</f>
        <v/>
      </c>
      <c r="AG6" s="11" t="n">
        <v>302</v>
      </c>
      <c r="AH6" s="12">
        <f>AG6/$D$6</f>
        <v/>
      </c>
      <c r="AI6" s="13">
        <f>AJ6-AG6</f>
        <v/>
      </c>
      <c r="AJ6" s="13" t="n">
        <v>307</v>
      </c>
      <c r="AK6" s="14">
        <f>AJ6/$D$6</f>
        <v/>
      </c>
      <c r="AL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1">
        <f>AG7-AD7</f>
        <v/>
      </c>
      <c r="AG7" s="11" t="n">
        <v>954</v>
      </c>
      <c r="AH7" s="12">
        <f>AG7/$D$7</f>
        <v/>
      </c>
      <c r="AI7" s="13">
        <f>AJ7-AG7</f>
        <v/>
      </c>
      <c r="AJ7" s="13" t="n">
        <v>972</v>
      </c>
      <c r="AK7" s="14">
        <f>AJ7/$D$7</f>
        <v/>
      </c>
      <c r="AL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1">
        <f>AG8-AD8</f>
        <v/>
      </c>
      <c r="AG8" s="11" t="n">
        <v>48</v>
      </c>
      <c r="AH8" s="12">
        <f>AG8/$D$8</f>
        <v/>
      </c>
      <c r="AI8" s="13">
        <f>AJ8-AG8</f>
        <v/>
      </c>
      <c r="AJ8" s="13" t="n">
        <v>49</v>
      </c>
      <c r="AK8" s="14">
        <f>AJ8/$D$8</f>
        <v/>
      </c>
      <c r="AL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1">
        <f>AG9-AD9</f>
        <v/>
      </c>
      <c r="AG9" s="11" t="n">
        <v>1058</v>
      </c>
      <c r="AH9" s="12">
        <f>AG9/$D$9</f>
        <v/>
      </c>
      <c r="AI9" s="13">
        <f>AJ9-AG9</f>
        <v/>
      </c>
      <c r="AJ9" s="13" t="n">
        <v>1062</v>
      </c>
      <c r="AK9" s="14">
        <f>AJ9/$D$9</f>
        <v/>
      </c>
      <c r="AL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1">
        <f>AG11-AD11</f>
        <v/>
      </c>
      <c r="AG11" s="11" t="n">
        <v>845</v>
      </c>
      <c r="AH11" s="12">
        <f>AG11/$D$11</f>
        <v/>
      </c>
      <c r="AI11" s="13">
        <f>AJ11-AG11</f>
        <v/>
      </c>
      <c r="AJ11" s="13" t="n">
        <v>845</v>
      </c>
      <c r="AK11" s="14">
        <f>AJ11/$D$11</f>
        <v/>
      </c>
      <c r="AL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1">
        <f>AG12-AD12</f>
        <v/>
      </c>
      <c r="AG12" s="11" t="n">
        <v>1421</v>
      </c>
      <c r="AH12" s="12">
        <f>AG12/$D$12</f>
        <v/>
      </c>
      <c r="AI12" s="13">
        <f>AJ12-AG12</f>
        <v/>
      </c>
      <c r="AJ12" s="13" t="n">
        <v>1497</v>
      </c>
      <c r="AK12" s="14">
        <f>AJ12/$D$12</f>
        <v/>
      </c>
      <c r="AL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1">
        <f>AG13-AD13</f>
        <v/>
      </c>
      <c r="AG13" s="11" t="n">
        <v>1001</v>
      </c>
      <c r="AH13" s="12">
        <f>AG13/$D$13</f>
        <v/>
      </c>
      <c r="AI13" s="13">
        <f>AJ13-AG13</f>
        <v/>
      </c>
      <c r="AJ13" s="13" t="n">
        <v>1006</v>
      </c>
      <c r="AK13" s="14">
        <f>AJ13/$D$13</f>
        <v/>
      </c>
      <c r="AL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1">
        <f>AG14-AD14</f>
        <v/>
      </c>
      <c r="AG14" s="11" t="n">
        <v>741</v>
      </c>
      <c r="AH14" s="12">
        <f>AG14/$D$14</f>
        <v/>
      </c>
      <c r="AI14" s="13">
        <f>AJ14-AG14</f>
        <v/>
      </c>
      <c r="AJ14" s="13" t="n">
        <v>756</v>
      </c>
      <c r="AK14" s="14">
        <f>AJ14/$D$14</f>
        <v/>
      </c>
      <c r="AL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1">
        <f>AG15-AD15</f>
        <v/>
      </c>
      <c r="AG15" s="11" t="n">
        <v>1394</v>
      </c>
      <c r="AH15" s="12">
        <f>AG15/$D$15</f>
        <v/>
      </c>
      <c r="AI15" s="13">
        <f>AJ15-AG15</f>
        <v/>
      </c>
      <c r="AJ15" s="13" t="n">
        <v>1396</v>
      </c>
      <c r="AK15" s="14">
        <f>AJ15/$D$15</f>
        <v/>
      </c>
      <c r="AL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1">
        <f>AG16-AD16</f>
        <v/>
      </c>
      <c r="AG16" s="11" t="n">
        <v>906</v>
      </c>
      <c r="AH16" s="12">
        <f>AG16/$D$16</f>
        <v/>
      </c>
      <c r="AI16" s="13">
        <f>AJ16-AG16</f>
        <v/>
      </c>
      <c r="AJ16" s="13" t="n">
        <v>908</v>
      </c>
      <c r="AK16" s="14">
        <f>AJ16/$D$16</f>
        <v/>
      </c>
      <c r="AL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1" t="n"/>
      <c r="AG17" s="11" t="n"/>
      <c r="AH17" s="12" t="n"/>
      <c r="AI17" s="13" t="n"/>
      <c r="AJ17" s="13" t="n"/>
      <c r="AK17" s="14" t="n"/>
      <c r="AL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1">
        <f>AG18-AD18</f>
        <v/>
      </c>
      <c r="AG18" s="11" t="n">
        <v>720</v>
      </c>
      <c r="AH18" s="12">
        <f>AG18/$D$18</f>
        <v/>
      </c>
      <c r="AI18" s="13">
        <f>AJ18-AG18</f>
        <v/>
      </c>
      <c r="AJ18" s="13" t="n">
        <v>725</v>
      </c>
      <c r="AK18" s="14">
        <f>AJ18/$D$18</f>
        <v/>
      </c>
      <c r="AL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1">
        <f>AG19-AD19</f>
        <v/>
      </c>
      <c r="AG19" s="11" t="n">
        <v>390</v>
      </c>
      <c r="AH19" s="12">
        <f>AG19/$D$19</f>
        <v/>
      </c>
      <c r="AI19" s="13">
        <f>AJ19-AG19</f>
        <v/>
      </c>
      <c r="AJ19" s="13" t="n">
        <v>390</v>
      </c>
      <c r="AK19" s="14">
        <f>AJ19/$D$19</f>
        <v/>
      </c>
      <c r="AL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1">
        <f>AG20-AD20</f>
        <v/>
      </c>
      <c r="AG20" s="11" t="n">
        <v>296</v>
      </c>
      <c r="AH20" s="12">
        <f>AG20/$D$20</f>
        <v/>
      </c>
      <c r="AI20" s="13">
        <f>AJ20-AG20</f>
        <v/>
      </c>
      <c r="AJ20" s="13" t="n">
        <v>306</v>
      </c>
      <c r="AK20" s="14">
        <f>AJ20/$D$20</f>
        <v/>
      </c>
      <c r="AL20" s="10" t="inlineStr">
        <is>
          <t>Latest sales - Block A: 215 units, Block B: 91 units</t>
        </is>
      </c>
    </row>
  </sheetData>
  <mergeCells count="11"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2026-08-29T23:19:59Z</dcterms:created>
  <dcterms:modified xsi:type="dcterms:W3CDTF">2026-08-29T23:19:59Z</dcterms:modified>
</cp:coreProperties>
</file>