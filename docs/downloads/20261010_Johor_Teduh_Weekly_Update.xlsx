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E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46" customWidth="1" min="57" max="57"/>
  </cols>
  <sheetData>
    <row r="2">
      <c r="A2" s="1" t="inlineStr">
        <is>
          <t>Report as at 10/10/2026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3" t="n">
        <v>46297</v>
      </c>
      <c r="BB3" s="4" t="n">
        <v>46304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5" t="inlineStr">
        <is>
          <t>NEW SALES</t>
        </is>
      </c>
      <c r="AZ4" s="5" t="inlineStr">
        <is>
          <t>TOTAL SOLD</t>
        </is>
      </c>
      <c r="BA4" s="5" t="inlineStr">
        <is>
          <t>TOTAL %</t>
        </is>
      </c>
      <c r="BB4" s="6" t="inlineStr">
        <is>
          <t>NEW SALES</t>
        </is>
      </c>
      <c r="BC4" s="6" t="inlineStr">
        <is>
          <t>TOTAL SOLD</t>
        </is>
      </c>
      <c r="BD4" s="6" t="inlineStr">
        <is>
          <t>TOTAL %</t>
        </is>
      </c>
      <c r="BE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2">
        <f>AZ6-AW6</f>
        <v/>
      </c>
      <c r="AZ6" s="12" t="n">
        <v>328</v>
      </c>
      <c r="BA6" s="13">
        <f>AZ6/$D$6</f>
        <v/>
      </c>
      <c r="BB6" s="14">
        <f>BC6-AZ6</f>
        <v/>
      </c>
      <c r="BC6" s="14" t="n">
        <v>335</v>
      </c>
      <c r="BD6" s="15">
        <f>BC6/$D$6</f>
        <v/>
      </c>
      <c r="BE6" s="10" t="inlineStr">
        <is>
          <t>Latest sales - Block A: 197 units, Block B: 138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2">
        <f>AZ7-AW7</f>
        <v/>
      </c>
      <c r="AZ7" s="12" t="n">
        <v>1017</v>
      </c>
      <c r="BA7" s="13">
        <f>AZ7/$D$7</f>
        <v/>
      </c>
      <c r="BB7" s="14">
        <f>BC7-AZ7</f>
        <v/>
      </c>
      <c r="BC7" s="14" t="n">
        <v>1025</v>
      </c>
      <c r="BD7" s="15">
        <f>BC7/$D$7</f>
        <v/>
      </c>
      <c r="BE7" s="10" t="inlineStr">
        <is>
          <t>Latest sales - Block A: 422 units, Block B: 397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2">
        <f>AZ8-AW8</f>
        <v/>
      </c>
      <c r="AZ8" s="12" t="n">
        <v>55</v>
      </c>
      <c r="BA8" s="13">
        <f>AZ8/$D$8</f>
        <v/>
      </c>
      <c r="BB8" s="14">
        <f>BC8-AZ8</f>
        <v/>
      </c>
      <c r="BC8" s="14" t="n">
        <v>55</v>
      </c>
      <c r="BD8" s="15">
        <f>BC8/$D$8</f>
        <v/>
      </c>
      <c r="BE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2">
        <f>AZ9-AW9</f>
        <v/>
      </c>
      <c r="AZ9" s="12" t="n">
        <v>1091</v>
      </c>
      <c r="BA9" s="13">
        <f>AZ9/$D$9</f>
        <v/>
      </c>
      <c r="BB9" s="14">
        <f>BC9-AZ9</f>
        <v/>
      </c>
      <c r="BC9" s="14" t="n">
        <v>1096</v>
      </c>
      <c r="BD9" s="15">
        <f>BC9/$D$9</f>
        <v/>
      </c>
      <c r="BE9" s="10" t="inlineStr">
        <is>
          <t>Latest sales - Phase 1: 671 units, Phase 2: 425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2">
        <f>AZ11-AW11</f>
        <v/>
      </c>
      <c r="AZ11" s="12" t="n">
        <v>844</v>
      </c>
      <c r="BA11" s="13">
        <f>AZ11/$D$11</f>
        <v/>
      </c>
      <c r="BB11" s="14">
        <f>BC11-AZ11</f>
        <v/>
      </c>
      <c r="BC11" s="14" t="n">
        <v>845</v>
      </c>
      <c r="BD11" s="15">
        <f>BC11/$D$11</f>
        <v/>
      </c>
      <c r="BE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2">
        <f>AZ12-AW12</f>
        <v/>
      </c>
      <c r="AZ12" s="12" t="n">
        <v>1569</v>
      </c>
      <c r="BA12" s="13">
        <f>AZ12/$D$12</f>
        <v/>
      </c>
      <c r="BB12" s="14">
        <f>BC12-AZ12</f>
        <v/>
      </c>
      <c r="BC12" s="14" t="n">
        <v>1581</v>
      </c>
      <c r="BD12" s="15">
        <f>BC12/$D$12</f>
        <v/>
      </c>
      <c r="BE12" s="10" t="inlineStr">
        <is>
          <t>Open sale for Block A, B &amp; D only. Block C (833 units) is not opened yet. Latest sales - Block A: 538 units, Block B: 546 units, Block D: 497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2">
        <f>AZ13-AW13</f>
        <v/>
      </c>
      <c r="AZ13" s="12" t="n">
        <v>1064</v>
      </c>
      <c r="BA13" s="13">
        <f>AZ13/$D$13</f>
        <v/>
      </c>
      <c r="BB13" s="14">
        <f>BC13-AZ13</f>
        <v/>
      </c>
      <c r="BC13" s="14" t="n">
        <v>1074</v>
      </c>
      <c r="BD13" s="15">
        <f>BC13/$D$13</f>
        <v/>
      </c>
      <c r="BE13" s="10" t="inlineStr">
        <is>
          <t>Latest sales - Block A: 414 units, Block B: 388 units, Block C: 272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2">
        <f>AZ14-AW14</f>
        <v/>
      </c>
      <c r="AZ14" s="12" t="n">
        <v>813</v>
      </c>
      <c r="BA14" s="13">
        <f>AZ14/$D$14</f>
        <v/>
      </c>
      <c r="BB14" s="14">
        <f>BC14-AZ14</f>
        <v/>
      </c>
      <c r="BC14" s="14" t="n">
        <v>831</v>
      </c>
      <c r="BD14" s="15">
        <f>BC14/$D$14</f>
        <v/>
      </c>
      <c r="BE14" s="10" t="inlineStr">
        <is>
          <t>Latest sales - Block A: 533 units, Block B: 298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2">
        <f>AZ15-AW15</f>
        <v/>
      </c>
      <c r="AZ15" s="12" t="n">
        <v>1415</v>
      </c>
      <c r="BA15" s="13">
        <f>AZ15/$D$15</f>
        <v/>
      </c>
      <c r="BB15" s="14">
        <f>BC15-AZ15</f>
        <v/>
      </c>
      <c r="BC15" s="14" t="n">
        <v>1419</v>
      </c>
      <c r="BD15" s="15">
        <f>BC15/$D$15</f>
        <v/>
      </c>
      <c r="BE15" s="10" t="inlineStr">
        <is>
          <t>Latest sales - Block A: 734 units, Block B: 685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2">
        <f>AZ16-AW16</f>
        <v/>
      </c>
      <c r="AZ16" s="12" t="n">
        <v>922</v>
      </c>
      <c r="BA16" s="13">
        <f>AZ16/$D$16</f>
        <v/>
      </c>
      <c r="BB16" s="14">
        <f>BC16-AZ16</f>
        <v/>
      </c>
      <c r="BC16" s="14" t="n">
        <v>924</v>
      </c>
      <c r="BD16" s="15">
        <f>BC16/$D$16</f>
        <v/>
      </c>
      <c r="BE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2" t="n"/>
      <c r="AZ17" s="12" t="n"/>
      <c r="BA17" s="13" t="n"/>
      <c r="BB17" s="14" t="n"/>
      <c r="BC17" s="14" t="n"/>
      <c r="BD17" s="15" t="n"/>
      <c r="BE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2">
        <f>AZ18-AW18</f>
        <v/>
      </c>
      <c r="AZ18" s="12" t="n">
        <v>745</v>
      </c>
      <c r="BA18" s="13">
        <f>AZ18/$D$18</f>
        <v/>
      </c>
      <c r="BB18" s="14">
        <f>BC18-AZ18</f>
        <v/>
      </c>
      <c r="BC18" s="14" t="n">
        <v>749</v>
      </c>
      <c r="BD18" s="15">
        <f>BC18/$D$18</f>
        <v/>
      </c>
      <c r="BE18" s="10" t="inlineStr">
        <is>
          <t>Latest sales - Block A: 457 units, Block B: 292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2">
        <f>AZ19-AW19</f>
        <v/>
      </c>
      <c r="AZ19" s="12" t="n">
        <v>407</v>
      </c>
      <c r="BA19" s="13">
        <f>AZ19/$D$19</f>
        <v/>
      </c>
      <c r="BB19" s="14">
        <f>BC19-AZ19</f>
        <v/>
      </c>
      <c r="BC19" s="14" t="n">
        <v>409</v>
      </c>
      <c r="BD19" s="15">
        <f>BC19/$D$19</f>
        <v/>
      </c>
      <c r="BE19" s="10" t="inlineStr">
        <is>
          <t>Latest sales - Block A: 302 units, Block B: 107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2">
        <f>AZ20-AW20</f>
        <v/>
      </c>
      <c r="AZ20" s="12" t="n">
        <v>333</v>
      </c>
      <c r="BA20" s="13">
        <f>AZ20/$D$20</f>
        <v/>
      </c>
      <c r="BB20" s="14">
        <f>BC20-AZ20</f>
        <v/>
      </c>
      <c r="BC20" s="14" t="n">
        <v>341</v>
      </c>
      <c r="BD20" s="15">
        <f>BC20/$D$20</f>
        <v/>
      </c>
      <c r="BE20" s="10" t="inlineStr">
        <is>
          <t>Latest sales - Block A: 229 units, Block B: 112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2">
        <f>AZ21-AW21</f>
        <v/>
      </c>
      <c r="AZ21" s="12" t="n">
        <v>0</v>
      </c>
      <c r="BA21" s="13">
        <f>AZ21/$D$21</f>
        <v/>
      </c>
      <c r="BB21" s="14">
        <f>BC21-AZ21</f>
        <v/>
      </c>
      <c r="BC21" s="14" t="n">
        <v>0</v>
      </c>
      <c r="BD21" s="15">
        <f>BC21/$D$21</f>
        <v/>
      </c>
      <c r="BE21" s="10" t="inlineStr"/>
    </row>
  </sheetData>
  <mergeCells count="17">
    <mergeCell ref="AY3:BA3"/>
    <mergeCell ref="BB3:BD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2026-10-09T23:33:15Z</dcterms:created>
  <dcterms:modified xsi:type="dcterms:W3CDTF">2026-10-09T23:33:15Z</dcterms:modified>
</cp:coreProperties>
</file>