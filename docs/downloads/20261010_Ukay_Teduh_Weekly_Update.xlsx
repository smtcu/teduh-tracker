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D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46" customWidth="1" min="30" max="30"/>
  </cols>
  <sheetData>
    <row r="2">
      <c r="A2" s="1" t="inlineStr">
        <is>
          <t>Report as at 10/10/2026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3" t="n">
        <v>46290</v>
      </c>
      <c r="X3" s="3" t="n">
        <v>46297</v>
      </c>
      <c r="AA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6" t="inlineStr">
        <is>
          <t>NEW SALES</t>
        </is>
      </c>
      <c r="AB4" s="6" t="inlineStr">
        <is>
          <t>TOTAL SOLD</t>
        </is>
      </c>
      <c r="AC4" s="6" t="inlineStr">
        <is>
          <t>TOTAL %</t>
        </is>
      </c>
      <c r="AD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0">
        <f>V5-S5</f>
        <v/>
      </c>
      <c r="V5" s="10" t="n">
        <v>98</v>
      </c>
      <c r="W5" s="11">
        <f>V5/$D$5</f>
        <v/>
      </c>
      <c r="X5" s="10">
        <f>Y5-V5</f>
        <v/>
      </c>
      <c r="Y5" s="10" t="n">
        <v>98</v>
      </c>
      <c r="Z5" s="11">
        <f>Y5/$D$5</f>
        <v/>
      </c>
      <c r="AA5" s="12">
        <f>AB5-Y5</f>
        <v/>
      </c>
      <c r="AB5" s="12" t="n">
        <v>98</v>
      </c>
      <c r="AC5" s="13">
        <f>AB5/$D$5</f>
        <v/>
      </c>
      <c r="AD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0">
        <f>V6-S6</f>
        <v/>
      </c>
      <c r="V6" s="10" t="n">
        <v>350</v>
      </c>
      <c r="W6" s="11">
        <f>V6/$D$6</f>
        <v/>
      </c>
      <c r="X6" s="10">
        <f>Y6-V6</f>
        <v/>
      </c>
      <c r="Y6" s="10" t="n">
        <v>352</v>
      </c>
      <c r="Z6" s="11">
        <f>Y6/$D$6</f>
        <v/>
      </c>
      <c r="AA6" s="12">
        <f>AB6-Y6</f>
        <v/>
      </c>
      <c r="AB6" s="12" t="n">
        <v>353</v>
      </c>
      <c r="AC6" s="13">
        <f>AB6/$D$6</f>
        <v/>
      </c>
      <c r="AD6" s="8" t="inlineStr">
        <is>
          <t>Latest sales - Block A1: 48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2" t="n"/>
      <c r="AB7" s="12" t="n"/>
      <c r="AC7" s="13" t="n"/>
      <c r="AD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0" t="n"/>
      <c r="V8" s="10" t="n"/>
      <c r="W8" s="11" t="n"/>
      <c r="X8" s="10" t="n"/>
      <c r="Y8" s="10" t="n"/>
      <c r="Z8" s="11" t="n"/>
      <c r="AA8" s="12" t="n"/>
      <c r="AB8" s="12" t="n"/>
      <c r="AC8" s="13" t="n"/>
      <c r="AD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0">
        <f>V9-S9</f>
        <v/>
      </c>
      <c r="V9" s="10" t="n">
        <v>342</v>
      </c>
      <c r="W9" s="11">
        <f>V9/$D$9</f>
        <v/>
      </c>
      <c r="X9" s="10">
        <f>Y9-V9</f>
        <v/>
      </c>
      <c r="Y9" s="10" t="n">
        <v>342</v>
      </c>
      <c r="Z9" s="11">
        <f>Y9/$D$9</f>
        <v/>
      </c>
      <c r="AA9" s="12">
        <f>AB9-Y9</f>
        <v/>
      </c>
      <c r="AB9" s="12" t="n">
        <v>342</v>
      </c>
      <c r="AC9" s="13">
        <f>AB9/$D$9</f>
        <v/>
      </c>
      <c r="AD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0">
        <f>V10-S10</f>
        <v/>
      </c>
      <c r="V10" s="10" t="n">
        <v>228</v>
      </c>
      <c r="W10" s="11">
        <f>V10/$D$10</f>
        <v/>
      </c>
      <c r="X10" s="10">
        <f>Y10-V10</f>
        <v/>
      </c>
      <c r="Y10" s="10" t="n">
        <v>228</v>
      </c>
      <c r="Z10" s="11">
        <f>Y10/$D$10</f>
        <v/>
      </c>
      <c r="AA10" s="12">
        <f>AB10-Y10</f>
        <v/>
      </c>
      <c r="AB10" s="12" t="n">
        <v>228</v>
      </c>
      <c r="AC10" s="13">
        <f>AB10/$D$10</f>
        <v/>
      </c>
      <c r="AD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0">
        <f>V11-S11</f>
        <v/>
      </c>
      <c r="V11" s="10" t="n">
        <v>273</v>
      </c>
      <c r="W11" s="11">
        <f>V11/$D$11</f>
        <v/>
      </c>
      <c r="X11" s="10">
        <f>Y11-V11</f>
        <v/>
      </c>
      <c r="Y11" s="10" t="n">
        <v>273</v>
      </c>
      <c r="Z11" s="11">
        <f>Y11/$D$11</f>
        <v/>
      </c>
      <c r="AA11" s="12">
        <f>AB11-Y11</f>
        <v/>
      </c>
      <c r="AB11" s="12" t="n">
        <v>273</v>
      </c>
      <c r="AC11" s="13">
        <f>AB11/$D$11</f>
        <v/>
      </c>
      <c r="AD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0">
        <f>V12-S12</f>
        <v/>
      </c>
      <c r="V12" s="10" t="n">
        <v>32</v>
      </c>
      <c r="W12" s="11">
        <f>V12/$D$12</f>
        <v/>
      </c>
      <c r="X12" s="10">
        <f>Y12-V12</f>
        <v/>
      </c>
      <c r="Y12" s="10" t="n">
        <v>32</v>
      </c>
      <c r="Z12" s="11">
        <f>Y12/$D$12</f>
        <v/>
      </c>
      <c r="AA12" s="12">
        <f>AB12-Y12</f>
        <v/>
      </c>
      <c r="AB12" s="12" t="n">
        <v>32</v>
      </c>
      <c r="AC12" s="13">
        <f>AB12/$D$12</f>
        <v/>
      </c>
      <c r="AD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0">
        <f>V13-S13</f>
        <v/>
      </c>
      <c r="V13" s="10" t="n">
        <v>7</v>
      </c>
      <c r="W13" s="11">
        <f>V13/$D$13</f>
        <v/>
      </c>
      <c r="X13" s="10">
        <f>Y13-V13</f>
        <v/>
      </c>
      <c r="Y13" s="10" t="n">
        <v>7</v>
      </c>
      <c r="Z13" s="11">
        <f>Y13/$D$13</f>
        <v/>
      </c>
      <c r="AA13" s="12">
        <f>AB13-Y13</f>
        <v/>
      </c>
      <c r="AB13" s="12" t="n">
        <v>7</v>
      </c>
      <c r="AC13" s="13">
        <f>AB13/$D$13</f>
        <v/>
      </c>
      <c r="AD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0">
        <f>V14-S14</f>
        <v/>
      </c>
      <c r="V14" s="10" t="n">
        <v>74</v>
      </c>
      <c r="W14" s="11">
        <f>V14/$D$14</f>
        <v/>
      </c>
      <c r="X14" s="10">
        <f>Y14-V14</f>
        <v/>
      </c>
      <c r="Y14" s="10" t="n">
        <v>74</v>
      </c>
      <c r="Z14" s="11">
        <f>Y14/$D$14</f>
        <v/>
      </c>
      <c r="AA14" s="12">
        <f>AB14-Y14</f>
        <v/>
      </c>
      <c r="AB14" s="12" t="n">
        <v>74</v>
      </c>
      <c r="AC14" s="13">
        <f>AB14/$D$14</f>
        <v/>
      </c>
      <c r="AD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0">
        <f>V15-S15</f>
        <v/>
      </c>
      <c r="V15" s="10" t="n">
        <v>222</v>
      </c>
      <c r="W15" s="11">
        <f>V15/$D$15</f>
        <v/>
      </c>
      <c r="X15" s="10">
        <f>Y15-V15</f>
        <v/>
      </c>
      <c r="Y15" s="10" t="n">
        <v>222</v>
      </c>
      <c r="Z15" s="11">
        <f>Y15/$D$15</f>
        <v/>
      </c>
      <c r="AA15" s="12">
        <f>AB15-Y15</f>
        <v/>
      </c>
      <c r="AB15" s="12" t="n">
        <v>222</v>
      </c>
      <c r="AC15" s="13">
        <f>AB15/$D$15</f>
        <v/>
      </c>
      <c r="AD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0">
        <f>V16-S16</f>
        <v/>
      </c>
      <c r="V16" s="10" t="n">
        <v>0</v>
      </c>
      <c r="W16" s="11">
        <f>V16/$D$16</f>
        <v/>
      </c>
      <c r="X16" s="10">
        <f>Y16-V16</f>
        <v/>
      </c>
      <c r="Y16" s="10" t="n">
        <v>0</v>
      </c>
      <c r="Z16" s="11">
        <f>Y16/$D$16</f>
        <v/>
      </c>
      <c r="AA16" s="12">
        <f>AB16-Y16</f>
        <v/>
      </c>
      <c r="AB16" s="12" t="n">
        <v>0</v>
      </c>
      <c r="AC16" s="13">
        <f>AB16/$D$16</f>
        <v/>
      </c>
      <c r="AD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0">
        <f>V17-S17</f>
        <v/>
      </c>
      <c r="V17" s="10" t="n">
        <v>197</v>
      </c>
      <c r="W17" s="11">
        <f>V17/$D$17</f>
        <v/>
      </c>
      <c r="X17" s="10">
        <f>Y17-V17</f>
        <v/>
      </c>
      <c r="Y17" s="10" t="n">
        <v>197</v>
      </c>
      <c r="Z17" s="11">
        <f>Y17/$D$17</f>
        <v/>
      </c>
      <c r="AA17" s="12">
        <f>AB17-Y17</f>
        <v/>
      </c>
      <c r="AB17" s="12" t="n">
        <v>197</v>
      </c>
      <c r="AC17" s="13">
        <f>AB17/$D$17</f>
        <v/>
      </c>
      <c r="AD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0">
        <f>V18-S18</f>
        <v/>
      </c>
      <c r="V18" s="10" t="n">
        <v>81</v>
      </c>
      <c r="W18" s="11">
        <f>V18/$D$18</f>
        <v/>
      </c>
      <c r="X18" s="10">
        <f>Y18-V18</f>
        <v/>
      </c>
      <c r="Y18" s="10" t="n">
        <v>81</v>
      </c>
      <c r="Z18" s="11">
        <f>Y18/$D$18</f>
        <v/>
      </c>
      <c r="AA18" s="12">
        <f>AB18-Y18</f>
        <v/>
      </c>
      <c r="AB18" s="12" t="n">
        <v>81</v>
      </c>
      <c r="AC18" s="13">
        <f>AB18/$D$18</f>
        <v/>
      </c>
      <c r="AD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0">
        <f>V19-S19</f>
        <v/>
      </c>
      <c r="V19" s="10" t="n">
        <v>456</v>
      </c>
      <c r="W19" s="11">
        <f>V19/$D$19</f>
        <v/>
      </c>
      <c r="X19" s="10">
        <f>Y19-V19</f>
        <v/>
      </c>
      <c r="Y19" s="10" t="n">
        <v>456</v>
      </c>
      <c r="Z19" s="11">
        <f>Y19/$D$19</f>
        <v/>
      </c>
      <c r="AA19" s="12">
        <f>AB19-Y19</f>
        <v/>
      </c>
      <c r="AB19" s="12" t="n">
        <v>456</v>
      </c>
      <c r="AC19" s="13">
        <f>AB19/$D$19</f>
        <v/>
      </c>
      <c r="AD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0">
        <f>V20-S20</f>
        <v/>
      </c>
      <c r="V20" s="10" t="n">
        <v>104</v>
      </c>
      <c r="W20" s="11">
        <f>V20/$D$20</f>
        <v/>
      </c>
      <c r="X20" s="10">
        <f>Y20-V20</f>
        <v/>
      </c>
      <c r="Y20" s="10" t="n">
        <v>104</v>
      </c>
      <c r="Z20" s="11">
        <f>Y20/$D$20</f>
        <v/>
      </c>
      <c r="AA20" s="12">
        <f>AB20-Y20</f>
        <v/>
      </c>
      <c r="AB20" s="12" t="n">
        <v>104</v>
      </c>
      <c r="AC20" s="13">
        <f>AB20/$D$20</f>
        <v/>
      </c>
      <c r="AD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0">
        <f>V21-S21</f>
        <v/>
      </c>
      <c r="V21" s="10" t="n">
        <v>11</v>
      </c>
      <c r="W21" s="11">
        <f>V21/$D$21</f>
        <v/>
      </c>
      <c r="X21" s="10">
        <f>Y21-V21</f>
        <v/>
      </c>
      <c r="Y21" s="10" t="n">
        <v>11</v>
      </c>
      <c r="Z21" s="11">
        <f>Y21/$D$21</f>
        <v/>
      </c>
      <c r="AA21" s="12">
        <f>AB21-Y21</f>
        <v/>
      </c>
      <c r="AB21" s="12" t="n">
        <v>11</v>
      </c>
      <c r="AC21" s="13">
        <f>AB21/$D$21</f>
        <v/>
      </c>
      <c r="AD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0" t="n"/>
      <c r="V22" s="10" t="n"/>
      <c r="W22" s="11" t="n"/>
      <c r="X22" s="10" t="n"/>
      <c r="Y22" s="10" t="n"/>
      <c r="Z22" s="11" t="n"/>
      <c r="AA22" s="12" t="n"/>
      <c r="AB22" s="12" t="n"/>
      <c r="AC22" s="13" t="n"/>
      <c r="AD22" s="8" t="inlineStr">
        <is>
          <t>No TEDUH code</t>
        </is>
      </c>
    </row>
  </sheetData>
  <mergeCells count="8">
    <mergeCell ref="R3:T3"/>
    <mergeCell ref="U3:W3"/>
    <mergeCell ref="X3:Z3"/>
    <mergeCell ref="I3:K3"/>
    <mergeCell ref="F3:H3"/>
    <mergeCell ref="L3:N3"/>
    <mergeCell ref="AA3:AC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2026-10-09T23:33:15Z</dcterms:created>
  <dcterms:modified xsi:type="dcterms:W3CDTF">2026-10-09T23:33:15Z</dcterms:modified>
</cp:coreProperties>
</file>