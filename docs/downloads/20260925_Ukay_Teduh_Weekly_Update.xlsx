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09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X22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46" customWidth="1" min="24" max="24"/>
  </cols>
  <sheetData>
    <row r="2">
      <c r="A2" s="1" t="inlineStr">
        <is>
          <t>Report as at 25/09/2026</t>
        </is>
      </c>
    </row>
    <row r="3">
      <c r="A3" s="2" t="inlineStr">
        <is>
          <t>WEEKLY TEDUH SALES REPORT (UKAY PROJECTS)</t>
        </is>
      </c>
      <c r="F3" s="3" t="n">
        <v>46255</v>
      </c>
      <c r="I3" s="3" t="n">
        <v>46262</v>
      </c>
      <c r="L3" s="3" t="n">
        <v>46269</v>
      </c>
      <c r="O3" s="3" t="n">
        <v>46276</v>
      </c>
      <c r="R3" s="3" t="n">
        <v>46283</v>
      </c>
      <c r="U3" s="4" t="n">
        <v>46290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6" t="inlineStr">
        <is>
          <t>NEW SALES</t>
        </is>
      </c>
      <c r="V4" s="6" t="inlineStr">
        <is>
          <t>TOTAL SOLD</t>
        </is>
      </c>
      <c r="W4" s="6" t="inlineStr">
        <is>
          <t>TOTAL %</t>
        </is>
      </c>
      <c r="X4" s="5" t="inlineStr">
        <is>
          <t>NOTES</t>
        </is>
      </c>
    </row>
    <row r="5">
      <c r="A5" s="7" t="n">
        <v>1</v>
      </c>
      <c r="B5" s="8" t="inlineStr">
        <is>
          <t>DaMai</t>
        </is>
      </c>
      <c r="C5" s="9" t="n">
        <v>45799</v>
      </c>
      <c r="D5" s="10" t="n">
        <v>306</v>
      </c>
      <c r="E5" s="8" t="inlineStr">
        <is>
          <t>SDB Properties Sdn Bhd</t>
        </is>
      </c>
      <c r="F5" s="10" t="n"/>
      <c r="G5" s="10" t="n">
        <v>95</v>
      </c>
      <c r="H5" s="11">
        <f>G5/$D$5</f>
        <v/>
      </c>
      <c r="I5" s="10">
        <f>J5-G5</f>
        <v/>
      </c>
      <c r="J5" s="10" t="n">
        <v>94</v>
      </c>
      <c r="K5" s="11">
        <f>J5/$D$5</f>
        <v/>
      </c>
      <c r="L5" s="10">
        <f>M5-J5</f>
        <v/>
      </c>
      <c r="M5" s="10" t="n">
        <v>93</v>
      </c>
      <c r="N5" s="11">
        <f>M5/$D$5</f>
        <v/>
      </c>
      <c r="O5" s="10">
        <f>P5-M5</f>
        <v/>
      </c>
      <c r="P5" s="10" t="n">
        <v>94</v>
      </c>
      <c r="Q5" s="11">
        <f>P5/$D$5</f>
        <v/>
      </c>
      <c r="R5" s="10">
        <f>S5-P5</f>
        <v/>
      </c>
      <c r="S5" s="10" t="n">
        <v>97</v>
      </c>
      <c r="T5" s="11">
        <f>S5/$D$5</f>
        <v/>
      </c>
      <c r="U5" s="12">
        <f>V5-S5</f>
        <v/>
      </c>
      <c r="V5" s="12" t="n">
        <v>98</v>
      </c>
      <c r="W5" s="13">
        <f>V5/$D$5</f>
        <v/>
      </c>
      <c r="X5" s="8" t="inlineStr">
        <is>
          <t>Latest sales - Block A: 57 units, Block B: 41 units</t>
        </is>
      </c>
    </row>
    <row r="6">
      <c r="A6" s="7" t="n">
        <v>2</v>
      </c>
      <c r="B6" s="8" t="inlineStr">
        <is>
          <t>Trinity Sensoria</t>
        </is>
      </c>
      <c r="C6" s="9" t="n">
        <v>45575</v>
      </c>
      <c r="D6" s="10" t="n">
        <v>737</v>
      </c>
      <c r="E6" s="8" t="inlineStr">
        <is>
          <t>Trinity Group (Trinity Wellnessa &amp; Enlivea Dev S/B)</t>
        </is>
      </c>
      <c r="F6" s="10" t="n"/>
      <c r="G6" s="10" t="n">
        <v>343</v>
      </c>
      <c r="H6" s="11">
        <f>G6/$D$6</f>
        <v/>
      </c>
      <c r="I6" s="10">
        <f>J6-G6</f>
        <v/>
      </c>
      <c r="J6" s="10" t="n">
        <v>347</v>
      </c>
      <c r="K6" s="11">
        <f>J6/$D$6</f>
        <v/>
      </c>
      <c r="L6" s="10">
        <f>M6-J6</f>
        <v/>
      </c>
      <c r="M6" s="10" t="n">
        <v>348</v>
      </c>
      <c r="N6" s="11">
        <f>M6/$D$6</f>
        <v/>
      </c>
      <c r="O6" s="10">
        <f>P6-M6</f>
        <v/>
      </c>
      <c r="P6" s="10" t="n">
        <v>348</v>
      </c>
      <c r="Q6" s="11">
        <f>P6/$D$6</f>
        <v/>
      </c>
      <c r="R6" s="10">
        <f>S6-P6</f>
        <v/>
      </c>
      <c r="S6" s="10" t="n">
        <v>347</v>
      </c>
      <c r="T6" s="11">
        <f>S6/$D$6</f>
        <v/>
      </c>
      <c r="U6" s="12">
        <f>V6-S6</f>
        <v/>
      </c>
      <c r="V6" s="12" t="n">
        <v>350</v>
      </c>
      <c r="W6" s="13">
        <f>V6/$D$6</f>
        <v/>
      </c>
      <c r="X6" s="8" t="inlineStr">
        <is>
          <t>Latest sales - Block A1: 45 units, Block A2: 204 units, Block B: 101 units</t>
        </is>
      </c>
    </row>
    <row r="7">
      <c r="A7" s="7" t="n">
        <v>3</v>
      </c>
      <c r="B7" s="8" t="inlineStr">
        <is>
          <t>Ukay Spring</t>
        </is>
      </c>
      <c r="C7" s="9" t="n"/>
      <c r="D7" s="10" t="n">
        <v>142</v>
      </c>
      <c r="E7" s="8" t="inlineStr">
        <is>
          <t>Malton Berhad (Gapadu Harta S/B)</t>
        </is>
      </c>
      <c r="F7" s="10" t="n"/>
      <c r="G7" s="10" t="n"/>
      <c r="H7" s="11" t="n"/>
      <c r="I7" s="10" t="n"/>
      <c r="J7" s="10" t="n"/>
      <c r="K7" s="11" t="n"/>
      <c r="L7" s="10" t="n"/>
      <c r="M7" s="10" t="n"/>
      <c r="N7" s="11" t="n"/>
      <c r="O7" s="10" t="n"/>
      <c r="P7" s="10" t="n"/>
      <c r="Q7" s="11" t="n"/>
      <c r="R7" s="10" t="n"/>
      <c r="S7" s="10" t="n"/>
      <c r="T7" s="11" t="n"/>
      <c r="U7" s="12" t="n"/>
      <c r="V7" s="12" t="n"/>
      <c r="W7" s="13" t="n"/>
      <c r="X7" s="8" t="inlineStr">
        <is>
          <t>No TEDUH code</t>
        </is>
      </c>
    </row>
    <row r="8">
      <c r="A8" s="7" t="n">
        <v>4</v>
      </c>
      <c r="B8" s="8" t="inlineStr">
        <is>
          <t>Chin Hin Ulu Kelang</t>
        </is>
      </c>
      <c r="C8" s="9" t="n"/>
      <c r="D8" s="10" t="n">
        <v>1449</v>
      </c>
      <c r="E8" s="8" t="inlineStr">
        <is>
          <t>Chin Hin Property (Melawati) S/B</t>
        </is>
      </c>
      <c r="F8" s="10" t="n"/>
      <c r="G8" s="10" t="n"/>
      <c r="H8" s="11" t="n"/>
      <c r="I8" s="10" t="n"/>
      <c r="J8" s="10" t="n"/>
      <c r="K8" s="11" t="n"/>
      <c r="L8" s="10" t="n"/>
      <c r="M8" s="10" t="n"/>
      <c r="N8" s="11" t="n"/>
      <c r="O8" s="10" t="n"/>
      <c r="P8" s="10" t="n"/>
      <c r="Q8" s="11" t="n"/>
      <c r="R8" s="10" t="n"/>
      <c r="S8" s="10" t="n"/>
      <c r="T8" s="11" t="n"/>
      <c r="U8" s="12" t="n"/>
      <c r="V8" s="12" t="n"/>
      <c r="W8" s="13" t="n"/>
      <c r="X8" s="8" t="inlineStr">
        <is>
          <t>No TEDUH code</t>
        </is>
      </c>
    </row>
    <row r="9">
      <c r="A9" s="7" t="n">
        <v>5</v>
      </c>
      <c r="B9" s="8" t="inlineStr">
        <is>
          <t>LEA By The Hills</t>
        </is>
      </c>
      <c r="C9" s="9" t="n">
        <v>44721</v>
      </c>
      <c r="D9" s="10" t="n">
        <v>344</v>
      </c>
      <c r="E9" s="8" t="inlineStr">
        <is>
          <t>OSK Property (Jelang Vista S/B)</t>
        </is>
      </c>
      <c r="F9" s="10" t="n"/>
      <c r="G9" s="10" t="n">
        <v>343</v>
      </c>
      <c r="H9" s="11">
        <f>G9/$D$9</f>
        <v/>
      </c>
      <c r="I9" s="10">
        <f>J9-G9</f>
        <v/>
      </c>
      <c r="J9" s="10" t="n">
        <v>343</v>
      </c>
      <c r="K9" s="11">
        <f>J9/$D$9</f>
        <v/>
      </c>
      <c r="L9" s="10">
        <f>M9-J9</f>
        <v/>
      </c>
      <c r="M9" s="10" t="n">
        <v>343</v>
      </c>
      <c r="N9" s="11">
        <f>M9/$D$9</f>
        <v/>
      </c>
      <c r="O9" s="10">
        <f>P9-M9</f>
        <v/>
      </c>
      <c r="P9" s="10" t="n">
        <v>343</v>
      </c>
      <c r="Q9" s="11">
        <f>P9/$D$9</f>
        <v/>
      </c>
      <c r="R9" s="10">
        <f>S9-P9</f>
        <v/>
      </c>
      <c r="S9" s="10" t="n">
        <v>343</v>
      </c>
      <c r="T9" s="11">
        <f>S9/$D$9</f>
        <v/>
      </c>
      <c r="U9" s="12">
        <f>V9-S9</f>
        <v/>
      </c>
      <c r="V9" s="12" t="n">
        <v>342</v>
      </c>
      <c r="W9" s="13">
        <f>V9/$D$9</f>
        <v/>
      </c>
      <c r="X9" s="8" t="inlineStr">
        <is>
          <t>Latest sales - Block L: 342 units</t>
        </is>
      </c>
    </row>
    <row r="10">
      <c r="A10" s="7" t="n">
        <v>6</v>
      </c>
      <c r="B10" s="8" t="inlineStr">
        <is>
          <t>Park One Residence</t>
        </is>
      </c>
      <c r="C10" s="9" t="n">
        <v>44841</v>
      </c>
      <c r="D10" s="10" t="n">
        <v>234</v>
      </c>
      <c r="E10" s="8" t="inlineStr">
        <is>
          <t>Sime Darby Property (KL East) S/B</t>
        </is>
      </c>
      <c r="F10" s="10" t="n"/>
      <c r="G10" s="10" t="n">
        <v>228</v>
      </c>
      <c r="H10" s="11">
        <f>G10/$D$10</f>
        <v/>
      </c>
      <c r="I10" s="10">
        <f>J10-G10</f>
        <v/>
      </c>
      <c r="J10" s="10" t="n">
        <v>228</v>
      </c>
      <c r="K10" s="11">
        <f>J10/$D$10</f>
        <v/>
      </c>
      <c r="L10" s="10">
        <f>M10-J10</f>
        <v/>
      </c>
      <c r="M10" s="10" t="n">
        <v>228</v>
      </c>
      <c r="N10" s="11">
        <f>M10/$D$10</f>
        <v/>
      </c>
      <c r="O10" s="10">
        <f>P10-M10</f>
        <v/>
      </c>
      <c r="P10" s="10" t="n">
        <v>228</v>
      </c>
      <c r="Q10" s="11">
        <f>P10/$D$10</f>
        <v/>
      </c>
      <c r="R10" s="10">
        <f>S10-P10</f>
        <v/>
      </c>
      <c r="S10" s="10" t="n">
        <v>228</v>
      </c>
      <c r="T10" s="11">
        <f>S10/$D$10</f>
        <v/>
      </c>
      <c r="U10" s="12">
        <f>V10-S10</f>
        <v/>
      </c>
      <c r="V10" s="12" t="n">
        <v>228</v>
      </c>
      <c r="W10" s="13">
        <f>V10/$D$10</f>
        <v/>
      </c>
      <c r="X10" s="8" t="inlineStr"/>
    </row>
    <row r="11">
      <c r="A11" s="7" t="n">
        <v>7</v>
      </c>
      <c r="B11" s="8" t="inlineStr">
        <is>
          <t>Sierra Hijauan</t>
        </is>
      </c>
      <c r="C11" s="9" t="n">
        <v>42287</v>
      </c>
      <c r="D11" s="10" t="n">
        <v>310</v>
      </c>
      <c r="E11" s="8" t="inlineStr">
        <is>
          <t>IJM Land (Sierra Ukay S/B)</t>
        </is>
      </c>
      <c r="F11" s="10" t="n"/>
      <c r="G11" s="10" t="n">
        <v>273</v>
      </c>
      <c r="H11" s="11">
        <f>G11/$D$11</f>
        <v/>
      </c>
      <c r="I11" s="10">
        <f>J11-G11</f>
        <v/>
      </c>
      <c r="J11" s="10" t="n">
        <v>273</v>
      </c>
      <c r="K11" s="11">
        <f>J11/$D$11</f>
        <v/>
      </c>
      <c r="L11" s="10">
        <f>M11-J11</f>
        <v/>
      </c>
      <c r="M11" s="10" t="n">
        <v>273</v>
      </c>
      <c r="N11" s="11">
        <f>M11/$D$11</f>
        <v/>
      </c>
      <c r="O11" s="10">
        <f>P11-M11</f>
        <v/>
      </c>
      <c r="P11" s="10" t="n">
        <v>273</v>
      </c>
      <c r="Q11" s="11">
        <f>P11/$D$11</f>
        <v/>
      </c>
      <c r="R11" s="10">
        <f>S11-P11</f>
        <v/>
      </c>
      <c r="S11" s="10" t="n">
        <v>273</v>
      </c>
      <c r="T11" s="11">
        <f>S11/$D$11</f>
        <v/>
      </c>
      <c r="U11" s="12">
        <f>V11-S11</f>
        <v/>
      </c>
      <c r="V11" s="12" t="n">
        <v>273</v>
      </c>
      <c r="W11" s="13">
        <f>V11/$D$11</f>
        <v/>
      </c>
      <c r="X11" s="8" t="inlineStr"/>
    </row>
    <row r="12">
      <c r="A12" s="7" t="n">
        <v>8</v>
      </c>
      <c r="B12" s="8" t="inlineStr">
        <is>
          <t>Embun @ Kemensah</t>
        </is>
      </c>
      <c r="C12" s="9" t="n">
        <v>41503</v>
      </c>
      <c r="D12" s="10" t="n">
        <v>51</v>
      </c>
      <c r="E12" s="8" t="inlineStr">
        <is>
          <t>Titijaya Land Bhd (Aman Kemensah S/B)</t>
        </is>
      </c>
      <c r="F12" s="10" t="n"/>
      <c r="G12" s="10" t="n">
        <v>32</v>
      </c>
      <c r="H12" s="11">
        <f>G12/$D$12</f>
        <v/>
      </c>
      <c r="I12" s="10">
        <f>J12-G12</f>
        <v/>
      </c>
      <c r="J12" s="10" t="n">
        <v>32</v>
      </c>
      <c r="K12" s="11">
        <f>J12/$D$12</f>
        <v/>
      </c>
      <c r="L12" s="10">
        <f>M12-J12</f>
        <v/>
      </c>
      <c r="M12" s="10" t="n">
        <v>32</v>
      </c>
      <c r="N12" s="11">
        <f>M12/$D$12</f>
        <v/>
      </c>
      <c r="O12" s="10">
        <f>P12-M12</f>
        <v/>
      </c>
      <c r="P12" s="10" t="n">
        <v>32</v>
      </c>
      <c r="Q12" s="11">
        <f>P12/$D$12</f>
        <v/>
      </c>
      <c r="R12" s="10">
        <f>S12-P12</f>
        <v/>
      </c>
      <c r="S12" s="10" t="n">
        <v>32</v>
      </c>
      <c r="T12" s="11">
        <f>S12/$D$12</f>
        <v/>
      </c>
      <c r="U12" s="12">
        <f>V12-S12</f>
        <v/>
      </c>
      <c r="V12" s="12" t="n">
        <v>32</v>
      </c>
      <c r="W12" s="13">
        <f>V12/$D$12</f>
        <v/>
      </c>
      <c r="X12" s="8" t="inlineStr">
        <is>
          <t>Phase 1, completed Dec 2016</t>
        </is>
      </c>
    </row>
    <row r="13">
      <c r="A13" s="7" t="n">
        <v>9</v>
      </c>
      <c r="B13" s="8" t="inlineStr">
        <is>
          <t>Emery @ Kemensah</t>
        </is>
      </c>
      <c r="C13" s="9" t="n">
        <v>41815</v>
      </c>
      <c r="D13" s="10" t="n">
        <v>52</v>
      </c>
      <c r="E13" s="8" t="inlineStr">
        <is>
          <t>Titijaya Land Bhd (Aman Kemensah S/B)</t>
        </is>
      </c>
      <c r="F13" s="10" t="n"/>
      <c r="G13" s="10" t="n"/>
      <c r="H13" s="11" t="n"/>
      <c r="I13" s="10" t="n"/>
      <c r="J13" s="10" t="n"/>
      <c r="K13" s="11" t="n"/>
      <c r="L13" s="10" t="n"/>
      <c r="M13" s="10" t="n">
        <v>7</v>
      </c>
      <c r="N13" s="11">
        <f>M13/$D$13</f>
        <v/>
      </c>
      <c r="O13" s="10">
        <f>P13-M13</f>
        <v/>
      </c>
      <c r="P13" s="10" t="n">
        <v>7</v>
      </c>
      <c r="Q13" s="11">
        <f>P13/$D$13</f>
        <v/>
      </c>
      <c r="R13" s="10">
        <f>S13-P13</f>
        <v/>
      </c>
      <c r="S13" s="10" t="n">
        <v>7</v>
      </c>
      <c r="T13" s="11">
        <f>S13/$D$13</f>
        <v/>
      </c>
      <c r="U13" s="12">
        <f>V13-S13</f>
        <v/>
      </c>
      <c r="V13" s="12" t="n">
        <v>7</v>
      </c>
      <c r="W13" s="13">
        <f>V13/$D$13</f>
        <v/>
      </c>
      <c r="X13" s="8" t="inlineStr">
        <is>
          <t>First 16 units on TEDUH (registered as Embun); remaining 36 units not yet launched</t>
        </is>
      </c>
    </row>
    <row r="14">
      <c r="A14" s="7" t="n">
        <v>10</v>
      </c>
      <c r="B14" s="8" t="inlineStr">
        <is>
          <t>Tijani Ukay Ampang</t>
        </is>
      </c>
      <c r="C14" s="9" t="n">
        <v>41569</v>
      </c>
      <c r="D14" s="10" t="n">
        <v>118</v>
      </c>
      <c r="E14" s="8" t="inlineStr">
        <is>
          <t>Symphony Life Bhd (Ketapang Realty S/B)</t>
        </is>
      </c>
      <c r="F14" s="10" t="n"/>
      <c r="G14" s="10" t="n">
        <v>74</v>
      </c>
      <c r="H14" s="11">
        <f>G14/$D$14</f>
        <v/>
      </c>
      <c r="I14" s="10">
        <f>J14-G14</f>
        <v/>
      </c>
      <c r="J14" s="10" t="n">
        <v>74</v>
      </c>
      <c r="K14" s="11">
        <f>J14/$D$14</f>
        <v/>
      </c>
      <c r="L14" s="10">
        <f>M14-J14</f>
        <v/>
      </c>
      <c r="M14" s="10" t="n">
        <v>74</v>
      </c>
      <c r="N14" s="11">
        <f>M14/$D$14</f>
        <v/>
      </c>
      <c r="O14" s="10">
        <f>P14-M14</f>
        <v/>
      </c>
      <c r="P14" s="10" t="n">
        <v>74</v>
      </c>
      <c r="Q14" s="11">
        <f>P14/$D$14</f>
        <v/>
      </c>
      <c r="R14" s="10">
        <f>S14-P14</f>
        <v/>
      </c>
      <c r="S14" s="10" t="n">
        <v>74</v>
      </c>
      <c r="T14" s="11">
        <f>S14/$D$14</f>
        <v/>
      </c>
      <c r="U14" s="12">
        <f>V14-S14</f>
        <v/>
      </c>
      <c r="V14" s="12" t="n">
        <v>74</v>
      </c>
      <c r="W14" s="13">
        <f>V14/$D$14</f>
        <v/>
      </c>
      <c r="X14" s="8" t="inlineStr"/>
    </row>
    <row r="15">
      <c r="A15" s="7" t="n">
        <v>11</v>
      </c>
      <c r="B15" s="8" t="inlineStr">
        <is>
          <t>19Trees</t>
        </is>
      </c>
      <c r="C15" s="9" t="n">
        <v>44831</v>
      </c>
      <c r="D15" s="10" t="n">
        <v>222</v>
      </c>
      <c r="E15" s="8" t="inlineStr">
        <is>
          <t>SDB Properties Sdn Bhd</t>
        </is>
      </c>
      <c r="F15" s="10" t="n"/>
      <c r="G15" s="10" t="n">
        <v>222</v>
      </c>
      <c r="H15" s="11">
        <f>G15/$D$15</f>
        <v/>
      </c>
      <c r="I15" s="10">
        <f>J15-G15</f>
        <v/>
      </c>
      <c r="J15" s="10" t="n">
        <v>222</v>
      </c>
      <c r="K15" s="11">
        <f>J15/$D$15</f>
        <v/>
      </c>
      <c r="L15" s="10">
        <f>M15-J15</f>
        <v/>
      </c>
      <c r="M15" s="10" t="n">
        <v>222</v>
      </c>
      <c r="N15" s="11">
        <f>M15/$D$15</f>
        <v/>
      </c>
      <c r="O15" s="10">
        <f>P15-M15</f>
        <v/>
      </c>
      <c r="P15" s="10" t="n">
        <v>222</v>
      </c>
      <c r="Q15" s="11">
        <f>P15/$D$15</f>
        <v/>
      </c>
      <c r="R15" s="10">
        <f>S15-P15</f>
        <v/>
      </c>
      <c r="S15" s="10" t="n">
        <v>222</v>
      </c>
      <c r="T15" s="11">
        <f>S15/$D$15</f>
        <v/>
      </c>
      <c r="U15" s="12">
        <f>V15-S15</f>
        <v/>
      </c>
      <c r="V15" s="12" t="n">
        <v>222</v>
      </c>
      <c r="W15" s="13">
        <f>V15/$D$15</f>
        <v/>
      </c>
      <c r="X15" s="8" t="inlineStr"/>
    </row>
    <row r="16">
      <c r="A16" s="7" t="n">
        <v>12</v>
      </c>
      <c r="B16" s="8" t="inlineStr">
        <is>
          <t>20Trees</t>
        </is>
      </c>
      <c r="C16" s="9" t="n">
        <v>39167</v>
      </c>
      <c r="D16" s="10" t="n">
        <v>201</v>
      </c>
      <c r="E16" s="8" t="inlineStr">
        <is>
          <t>SDB Properties Sdn Bhd</t>
        </is>
      </c>
      <c r="F16" s="10" t="n"/>
      <c r="G16" s="10" t="n">
        <v>0</v>
      </c>
      <c r="H16" s="11">
        <f>G16/$D$16</f>
        <v/>
      </c>
      <c r="I16" s="10">
        <f>J16-G16</f>
        <v/>
      </c>
      <c r="J16" s="10" t="n">
        <v>0</v>
      </c>
      <c r="K16" s="11">
        <f>J16/$D$16</f>
        <v/>
      </c>
      <c r="L16" s="10">
        <f>M16-J16</f>
        <v/>
      </c>
      <c r="M16" s="10" t="n">
        <v>0</v>
      </c>
      <c r="N16" s="11">
        <f>M16/$D$16</f>
        <v/>
      </c>
      <c r="O16" s="10">
        <f>P16-M16</f>
        <v/>
      </c>
      <c r="P16" s="10" t="n">
        <v>0</v>
      </c>
      <c r="Q16" s="11">
        <f>P16/$D$16</f>
        <v/>
      </c>
      <c r="R16" s="10">
        <f>S16-P16</f>
        <v/>
      </c>
      <c r="S16" s="10" t="n">
        <v>0</v>
      </c>
      <c r="T16" s="11">
        <f>S16/$D$16</f>
        <v/>
      </c>
      <c r="U16" s="12">
        <f>V16-S16</f>
        <v/>
      </c>
      <c r="V16" s="12" t="n">
        <v>0</v>
      </c>
      <c r="W16" s="13">
        <f>V16/$D$16</f>
        <v/>
      </c>
      <c r="X16" s="8" t="inlineStr">
        <is>
          <t>No unit found on TEDUH</t>
        </is>
      </c>
    </row>
    <row r="17">
      <c r="A17" s="7" t="n">
        <v>13</v>
      </c>
      <c r="B17" s="8" t="inlineStr">
        <is>
          <t>Nadayu 63</t>
        </is>
      </c>
      <c r="C17" s="9" t="n">
        <v>41892</v>
      </c>
      <c r="D17" s="10" t="n">
        <v>296</v>
      </c>
      <c r="E17" s="8" t="inlineStr">
        <is>
          <t>Nadayu Properties (Twin Ridge S/B)</t>
        </is>
      </c>
      <c r="F17" s="10" t="n"/>
      <c r="G17" s="10" t="n">
        <v>197</v>
      </c>
      <c r="H17" s="11">
        <f>G17/$D$17</f>
        <v/>
      </c>
      <c r="I17" s="10">
        <f>J17-G17</f>
        <v/>
      </c>
      <c r="J17" s="10" t="n">
        <v>197</v>
      </c>
      <c r="K17" s="11">
        <f>J17/$D$17</f>
        <v/>
      </c>
      <c r="L17" s="10">
        <f>M17-J17</f>
        <v/>
      </c>
      <c r="M17" s="10" t="n">
        <v>197</v>
      </c>
      <c r="N17" s="11">
        <f>M17/$D$17</f>
        <v/>
      </c>
      <c r="O17" s="10">
        <f>P17-M17</f>
        <v/>
      </c>
      <c r="P17" s="10" t="n">
        <v>197</v>
      </c>
      <c r="Q17" s="11">
        <f>P17/$D$17</f>
        <v/>
      </c>
      <c r="R17" s="10">
        <f>S17-P17</f>
        <v/>
      </c>
      <c r="S17" s="10" t="n">
        <v>197</v>
      </c>
      <c r="T17" s="11">
        <f>S17/$D$17</f>
        <v/>
      </c>
      <c r="U17" s="12">
        <f>V17-S17</f>
        <v/>
      </c>
      <c r="V17" s="12" t="n">
        <v>197</v>
      </c>
      <c r="W17" s="13">
        <f>V17/$D$17</f>
        <v/>
      </c>
      <c r="X17" s="8" t="inlineStr">
        <is>
          <t>Latest sales - Block B: 197 units</t>
        </is>
      </c>
    </row>
    <row r="18">
      <c r="A18" s="7" t="n">
        <v>14</v>
      </c>
      <c r="B18" s="8" t="inlineStr">
        <is>
          <t>16 Quartz @ Taman Melawati</t>
        </is>
      </c>
      <c r="C18" s="9" t="n">
        <v>41527</v>
      </c>
      <c r="D18" s="10" t="n">
        <v>117</v>
      </c>
      <c r="E18" s="8" t="inlineStr">
        <is>
          <t>Mitraland (Mitraland Melawati S/B)</t>
        </is>
      </c>
      <c r="F18" s="10" t="n"/>
      <c r="G18" s="10" t="n">
        <v>81</v>
      </c>
      <c r="H18" s="11">
        <f>G18/$D$18</f>
        <v/>
      </c>
      <c r="I18" s="10">
        <f>J18-G18</f>
        <v/>
      </c>
      <c r="J18" s="10" t="n">
        <v>81</v>
      </c>
      <c r="K18" s="11">
        <f>J18/$D$18</f>
        <v/>
      </c>
      <c r="L18" s="10">
        <f>M18-J18</f>
        <v/>
      </c>
      <c r="M18" s="10" t="n">
        <v>81</v>
      </c>
      <c r="N18" s="11">
        <f>M18/$D$18</f>
        <v/>
      </c>
      <c r="O18" s="10">
        <f>P18-M18</f>
        <v/>
      </c>
      <c r="P18" s="10" t="n">
        <v>81</v>
      </c>
      <c r="Q18" s="11">
        <f>P18/$D$18</f>
        <v/>
      </c>
      <c r="R18" s="10">
        <f>S18-P18</f>
        <v/>
      </c>
      <c r="S18" s="10" t="n">
        <v>81</v>
      </c>
      <c r="T18" s="11">
        <f>S18/$D$18</f>
        <v/>
      </c>
      <c r="U18" s="12">
        <f>V18-S18</f>
        <v/>
      </c>
      <c r="V18" s="12" t="n">
        <v>81</v>
      </c>
      <c r="W18" s="13">
        <f>V18/$D$18</f>
        <v/>
      </c>
      <c r="X18" s="8" t="inlineStr"/>
    </row>
    <row r="19">
      <c r="A19" s="7" t="n">
        <v>15</v>
      </c>
      <c r="B19" s="8" t="inlineStr">
        <is>
          <t>Trinity Wellnessa</t>
        </is>
      </c>
      <c r="C19" s="9" t="n">
        <v>44393</v>
      </c>
      <c r="D19" s="10" t="n">
        <v>463</v>
      </c>
      <c r="E19" s="8" t="inlineStr">
        <is>
          <t>Trinity Group (Trinity Wellnessa &amp; Enlivea Dev S/B)</t>
        </is>
      </c>
      <c r="F19" s="10" t="n"/>
      <c r="G19" s="10" t="n">
        <v>456</v>
      </c>
      <c r="H19" s="11">
        <f>G19/$D$19</f>
        <v/>
      </c>
      <c r="I19" s="10">
        <f>J19-G19</f>
        <v/>
      </c>
      <c r="J19" s="10" t="n">
        <v>456</v>
      </c>
      <c r="K19" s="11">
        <f>J19/$D$19</f>
        <v/>
      </c>
      <c r="L19" s="10">
        <f>M19-J19</f>
        <v/>
      </c>
      <c r="M19" s="10" t="n">
        <v>456</v>
      </c>
      <c r="N19" s="11">
        <f>M19/$D$19</f>
        <v/>
      </c>
      <c r="O19" s="10">
        <f>P19-M19</f>
        <v/>
      </c>
      <c r="P19" s="10" t="n">
        <v>456</v>
      </c>
      <c r="Q19" s="11">
        <f>P19/$D$19</f>
        <v/>
      </c>
      <c r="R19" s="10">
        <f>S19-P19</f>
        <v/>
      </c>
      <c r="S19" s="10" t="n">
        <v>456</v>
      </c>
      <c r="T19" s="11">
        <f>S19/$D$19</f>
        <v/>
      </c>
      <c r="U19" s="12">
        <f>V19-S19</f>
        <v/>
      </c>
      <c r="V19" s="12" t="n">
        <v>456</v>
      </c>
      <c r="W19" s="13">
        <f>V19/$D$19</f>
        <v/>
      </c>
      <c r="X19" s="8" t="inlineStr">
        <is>
          <t>Latest sales - Block A1: 223 units, Block A2: 233 units</t>
        </is>
      </c>
    </row>
    <row r="20">
      <c r="A20" s="7" t="n">
        <v>16</v>
      </c>
      <c r="B20" s="8" t="inlineStr">
        <is>
          <t>Nassim Heights</t>
        </is>
      </c>
      <c r="C20" s="9" t="n">
        <v>44251</v>
      </c>
      <c r="D20" s="10" t="n">
        <v>106</v>
      </c>
      <c r="E20" s="8" t="inlineStr">
        <is>
          <t>Newfield Holding (Nassim Development S/B)</t>
        </is>
      </c>
      <c r="F20" s="10" t="n"/>
      <c r="G20" s="10" t="n">
        <v>104</v>
      </c>
      <c r="H20" s="11">
        <f>G20/$D$20</f>
        <v/>
      </c>
      <c r="I20" s="10">
        <f>J20-G20</f>
        <v/>
      </c>
      <c r="J20" s="10" t="n">
        <v>104</v>
      </c>
      <c r="K20" s="11">
        <f>J20/$D$20</f>
        <v/>
      </c>
      <c r="L20" s="10">
        <f>M20-J20</f>
        <v/>
      </c>
      <c r="M20" s="10" t="n">
        <v>104</v>
      </c>
      <c r="N20" s="11">
        <f>M20/$D$20</f>
        <v/>
      </c>
      <c r="O20" s="10">
        <f>P20-M20</f>
        <v/>
      </c>
      <c r="P20" s="10" t="n">
        <v>104</v>
      </c>
      <c r="Q20" s="11">
        <f>P20/$D$20</f>
        <v/>
      </c>
      <c r="R20" s="10">
        <f>S20-P20</f>
        <v/>
      </c>
      <c r="S20" s="10" t="n">
        <v>104</v>
      </c>
      <c r="T20" s="11">
        <f>S20/$D$20</f>
        <v/>
      </c>
      <c r="U20" s="12">
        <f>V20-S20</f>
        <v/>
      </c>
      <c r="V20" s="12" t="n">
        <v>104</v>
      </c>
      <c r="W20" s="13">
        <f>V20/$D$20</f>
        <v/>
      </c>
      <c r="X20" s="8" t="inlineStr"/>
    </row>
    <row r="21">
      <c r="A21" s="7" t="n">
        <v>17</v>
      </c>
      <c r="B21" s="8" t="inlineStr">
        <is>
          <t>Kelab Ukay Residence</t>
        </is>
      </c>
      <c r="C21" s="9" t="n">
        <v>40799</v>
      </c>
      <c r="D21" s="10" t="n">
        <v>15</v>
      </c>
      <c r="E21" s="8" t="inlineStr">
        <is>
          <t>Sri Datai / Strong Heritage S/B</t>
        </is>
      </c>
      <c r="F21" s="10" t="n"/>
      <c r="G21" s="10" t="n">
        <v>11</v>
      </c>
      <c r="H21" s="11">
        <f>G21/$D$21</f>
        <v/>
      </c>
      <c r="I21" s="10">
        <f>J21-G21</f>
        <v/>
      </c>
      <c r="J21" s="10" t="n">
        <v>11</v>
      </c>
      <c r="K21" s="11">
        <f>J21/$D$21</f>
        <v/>
      </c>
      <c r="L21" s="10">
        <f>M21-J21</f>
        <v/>
      </c>
      <c r="M21" s="10" t="n">
        <v>11</v>
      </c>
      <c r="N21" s="11">
        <f>M21/$D$21</f>
        <v/>
      </c>
      <c r="O21" s="10">
        <f>P21-M21</f>
        <v/>
      </c>
      <c r="P21" s="10" t="n">
        <v>11</v>
      </c>
      <c r="Q21" s="11">
        <f>P21/$D$21</f>
        <v/>
      </c>
      <c r="R21" s="10">
        <f>S21-P21</f>
        <v/>
      </c>
      <c r="S21" s="10" t="n">
        <v>11</v>
      </c>
      <c r="T21" s="11">
        <f>S21/$D$21</f>
        <v/>
      </c>
      <c r="U21" s="12">
        <f>V21-S21</f>
        <v/>
      </c>
      <c r="V21" s="12" t="n">
        <v>11</v>
      </c>
      <c r="W21" s="13">
        <f>V21/$D$21</f>
        <v/>
      </c>
      <c r="X21" s="8" t="inlineStr"/>
    </row>
    <row r="22">
      <c r="A22" s="7" t="n">
        <v>18</v>
      </c>
      <c r="B22" s="8" t="inlineStr">
        <is>
          <t>Villaria</t>
        </is>
      </c>
      <c r="C22" s="9" t="n"/>
      <c r="D22" s="10" t="n">
        <v>0</v>
      </c>
      <c r="E22" s="8" t="inlineStr"/>
      <c r="F22" s="10" t="n"/>
      <c r="G22" s="10" t="n"/>
      <c r="H22" s="11" t="n"/>
      <c r="I22" s="10" t="n"/>
      <c r="J22" s="10" t="n"/>
      <c r="K22" s="11" t="n"/>
      <c r="L22" s="10" t="n"/>
      <c r="M22" s="10" t="n"/>
      <c r="N22" s="11" t="n"/>
      <c r="O22" s="10" t="n"/>
      <c r="P22" s="10" t="n"/>
      <c r="Q22" s="11" t="n"/>
      <c r="R22" s="10" t="n"/>
      <c r="S22" s="10" t="n"/>
      <c r="T22" s="11" t="n"/>
      <c r="U22" s="12" t="n"/>
      <c r="V22" s="12" t="n"/>
      <c r="W22" s="13" t="n"/>
      <c r="X22" s="8" t="inlineStr">
        <is>
          <t>No TEDUH code</t>
        </is>
      </c>
    </row>
  </sheetData>
  <mergeCells count="6">
    <mergeCell ref="R3:T3"/>
    <mergeCell ref="U3:W3"/>
    <mergeCell ref="I3:K3"/>
    <mergeCell ref="F3:H3"/>
    <mergeCell ref="L3:N3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2026-09-25T23:52:20Z</dcterms:created>
  <dcterms:modified xsi:type="dcterms:W3CDTF">2026-09-25T23:52:20Z</dcterms:modified>
</cp:coreProperties>
</file>