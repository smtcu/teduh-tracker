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8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MMM-YY"/>
    <numFmt numFmtId="167" formatCode="0.0%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0000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7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0" customWidth="1" min="3" max="3"/>
    <col width="28" customWidth="1" min="4" max="4"/>
    <col width="12" customWidth="1" min="5" max="5"/>
    <col width="8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42" customWidth="1" min="25" max="25"/>
  </cols>
  <sheetData>
    <row r="1">
      <c r="A1" s="1" t="inlineStr">
        <is>
          <t>Teduh Weekly Update: Seputeh Hills Competitor Studies</t>
        </is>
      </c>
    </row>
    <row r="2">
      <c r="A2" s="2" t="inlineStr">
        <is>
          <t>Report as at 22/08/2026</t>
        </is>
      </c>
    </row>
    <row r="3">
      <c r="G3" s="3" t="n">
        <v>46213</v>
      </c>
      <c r="J3" s="3" t="n">
        <v>46220</v>
      </c>
      <c r="M3" s="3" t="n">
        <v>46234</v>
      </c>
      <c r="P3" s="3" t="n">
        <v>46241</v>
      </c>
      <c r="S3" s="3" t="n">
        <v>46248</v>
      </c>
      <c r="V3" s="4" t="n">
        <v>46255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PROJECT 
CODE</t>
        </is>
      </c>
      <c r="D4" s="5" t="inlineStr">
        <is>
          <t>DEVELOPER</t>
        </is>
      </c>
      <c r="E4" s="5" t="inlineStr">
        <is>
          <t>Launched date</t>
        </is>
      </c>
      <c r="F4" s="5" t="inlineStr">
        <is>
          <t>TOTAL 
UNIT</t>
        </is>
      </c>
      <c r="G4" s="5" t="inlineStr">
        <is>
          <t>NEW SALES</t>
        </is>
      </c>
      <c r="H4" s="5" t="inlineStr">
        <is>
          <t>TOTAL SOLD</t>
        </is>
      </c>
      <c r="I4" s="5" t="inlineStr">
        <is>
          <t>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%</t>
        </is>
      </c>
      <c r="S4" s="5" t="inlineStr">
        <is>
          <t>NEW SALES</t>
        </is>
      </c>
      <c r="T4" s="5" t="inlineStr">
        <is>
          <t>TOTAL SOLD</t>
        </is>
      </c>
      <c r="U4" s="5" t="inlineStr">
        <is>
          <t>%</t>
        </is>
      </c>
      <c r="V4" s="6" t="inlineStr">
        <is>
          <t>NEW SALES</t>
        </is>
      </c>
      <c r="W4" s="6" t="inlineStr">
        <is>
          <t>TOTAL SOLD</t>
        </is>
      </c>
      <c r="X4" s="6" t="inlineStr">
        <is>
          <t>%</t>
        </is>
      </c>
      <c r="Y4" s="5" t="inlineStr">
        <is>
          <t>Remarks</t>
        </is>
      </c>
    </row>
    <row r="5">
      <c r="A5" s="7" t="n">
        <v>1</v>
      </c>
      <c r="B5" s="8" t="inlineStr">
        <is>
          <t>The Eden</t>
        </is>
      </c>
      <c r="C5" s="7" t="inlineStr">
        <is>
          <t>32-16</t>
        </is>
      </c>
      <c r="D5" s="8" t="inlineStr">
        <is>
          <t>BRDB Developments Sdn Bhd</t>
        </is>
      </c>
      <c r="E5" s="9" t="n">
        <v>45839</v>
      </c>
      <c r="F5" s="10" t="n">
        <v>146</v>
      </c>
      <c r="G5" s="10" t="n">
        <v>3</v>
      </c>
      <c r="H5" s="10" t="n">
        <v>30</v>
      </c>
      <c r="I5" s="11">
        <f>H5/$F$5</f>
        <v/>
      </c>
      <c r="J5" s="10">
        <f>K5-H5</f>
        <v/>
      </c>
      <c r="K5" s="10" t="n">
        <v>34</v>
      </c>
      <c r="L5" s="11">
        <f>K5/$F$5</f>
        <v/>
      </c>
      <c r="M5" s="10">
        <f>N5-K5</f>
        <v/>
      </c>
      <c r="N5" s="10" t="n">
        <v>40</v>
      </c>
      <c r="O5" s="11">
        <f>N5/$F$5</f>
        <v/>
      </c>
      <c r="P5" s="10">
        <f>Q5-N5</f>
        <v/>
      </c>
      <c r="Q5" s="10" t="n">
        <v>41</v>
      </c>
      <c r="R5" s="11">
        <f>Q5/$F$5</f>
        <v/>
      </c>
      <c r="S5" s="10">
        <f>T5-Q5</f>
        <v/>
      </c>
      <c r="T5" s="10" t="n">
        <v>43</v>
      </c>
      <c r="U5" s="11">
        <f>T5/$F$5</f>
        <v/>
      </c>
      <c r="V5" s="12">
        <f>W5-T5</f>
        <v/>
      </c>
      <c r="W5" s="12" t="n">
        <v>43</v>
      </c>
      <c r="X5" s="13">
        <f>W5/$F$5</f>
        <v/>
      </c>
      <c r="Y5" s="8" t="inlineStr">
        <is>
          <t>Big unit (5,533 to Penthouse 19,031sqft)</t>
        </is>
      </c>
    </row>
    <row r="6">
      <c r="A6" s="7" t="n">
        <v>2</v>
      </c>
      <c r="B6" s="8" t="inlineStr">
        <is>
          <t>Imperial Residences- Pavilion DH</t>
        </is>
      </c>
      <c r="C6" s="7" t="inlineStr">
        <is>
          <t>30216-1</t>
        </is>
      </c>
      <c r="D6" s="8" t="inlineStr">
        <is>
          <t>Pavilion Group (Jendela Mayang S/B)</t>
        </is>
      </c>
      <c r="E6" s="9" t="n">
        <v>45931</v>
      </c>
      <c r="F6" s="10" t="n">
        <v>154</v>
      </c>
      <c r="G6" s="10" t="n">
        <v>1</v>
      </c>
      <c r="H6" s="10" t="n">
        <v>32</v>
      </c>
      <c r="I6" s="11">
        <f>H6/$F$6</f>
        <v/>
      </c>
      <c r="J6" s="10">
        <f>K6-H6</f>
        <v/>
      </c>
      <c r="K6" s="10" t="n">
        <v>33</v>
      </c>
      <c r="L6" s="11">
        <f>K6/$F$6</f>
        <v/>
      </c>
      <c r="M6" s="10">
        <f>N6-K6</f>
        <v/>
      </c>
      <c r="N6" s="10" t="n">
        <v>33</v>
      </c>
      <c r="O6" s="11">
        <f>N6/$F$6</f>
        <v/>
      </c>
      <c r="P6" s="10">
        <f>Q6-N6</f>
        <v/>
      </c>
      <c r="Q6" s="10" t="n">
        <v>33</v>
      </c>
      <c r="R6" s="11">
        <f>Q6/$F$6</f>
        <v/>
      </c>
      <c r="S6" s="10">
        <f>T6-Q6</f>
        <v/>
      </c>
      <c r="T6" s="10" t="n">
        <v>33</v>
      </c>
      <c r="U6" s="11">
        <f>T6/$F$6</f>
        <v/>
      </c>
      <c r="V6" s="12">
        <f>W6-T6</f>
        <v/>
      </c>
      <c r="W6" s="12" t="n">
        <v>35</v>
      </c>
      <c r="X6" s="13">
        <f>W6/$F$6</f>
        <v/>
      </c>
      <c r="Y6" s="8" t="inlineStr">
        <is>
          <t>Big unit (3,380 to 4,090sqft  &amp; Penthouse 7,459sqft).</t>
        </is>
      </c>
    </row>
    <row r="7">
      <c r="A7" s="7" t="n">
        <v>3</v>
      </c>
      <c r="B7" s="8" t="inlineStr">
        <is>
          <t>Royal Suites- Pavilion DH (small unit)</t>
        </is>
      </c>
      <c r="C7" s="7" t="inlineStr">
        <is>
          <t>30216-2</t>
        </is>
      </c>
      <c r="D7" s="8" t="inlineStr">
        <is>
          <t>Pavilion Group (Jendela Mayang S/B)</t>
        </is>
      </c>
      <c r="E7" s="9" t="n">
        <v>46023</v>
      </c>
      <c r="F7" s="10" t="n">
        <v>490</v>
      </c>
      <c r="G7" s="10" t="n">
        <v>6</v>
      </c>
      <c r="H7" s="10" t="n">
        <v>29</v>
      </c>
      <c r="I7" s="11">
        <f>H7/$F$7</f>
        <v/>
      </c>
      <c r="J7" s="10">
        <f>K7-H7</f>
        <v/>
      </c>
      <c r="K7" s="10" t="n">
        <v>31</v>
      </c>
      <c r="L7" s="11">
        <f>K7/$F$7</f>
        <v/>
      </c>
      <c r="M7" s="10">
        <f>N7-K7</f>
        <v/>
      </c>
      <c r="N7" s="10" t="n">
        <v>37</v>
      </c>
      <c r="O7" s="11">
        <f>N7/$F$7</f>
        <v/>
      </c>
      <c r="P7" s="10">
        <f>Q7-N7</f>
        <v/>
      </c>
      <c r="Q7" s="10" t="n">
        <v>42</v>
      </c>
      <c r="R7" s="11">
        <f>Q7/$F$7</f>
        <v/>
      </c>
      <c r="S7" s="10">
        <f>T7-Q7</f>
        <v/>
      </c>
      <c r="T7" s="10" t="n">
        <v>45</v>
      </c>
      <c r="U7" s="11">
        <f>T7/$F$7</f>
        <v/>
      </c>
      <c r="V7" s="12">
        <f>W7-T7</f>
        <v/>
      </c>
      <c r="W7" s="12" t="n">
        <v>48</v>
      </c>
      <c r="X7" s="13">
        <f>W7/$F$7</f>
        <v/>
      </c>
      <c r="Y7" s="8" t="inlineStr">
        <is>
          <t>Small unit (452 to 1,679 sq ft)</t>
        </is>
      </c>
    </row>
    <row r="8">
      <c r="A8" s="7" t="n">
        <v>4</v>
      </c>
      <c r="B8" s="8" t="inlineStr">
        <is>
          <t>The Batai</t>
        </is>
      </c>
      <c r="C8" s="7" t="inlineStr">
        <is>
          <t>31078-1</t>
        </is>
      </c>
      <c r="D8" s="8" t="inlineStr">
        <is>
          <t>Tan &amp; Tan Dev Berhad (Arabayu Sepakat S/B)</t>
        </is>
      </c>
      <c r="E8" s="9" t="n">
        <v>45992</v>
      </c>
      <c r="F8" s="10" t="n">
        <v>48</v>
      </c>
      <c r="G8" s="10" t="n">
        <v>0</v>
      </c>
      <c r="H8" s="10" t="n">
        <v>45</v>
      </c>
      <c r="I8" s="11">
        <f>H8/$F$8</f>
        <v/>
      </c>
      <c r="J8" s="10">
        <f>K8-H8</f>
        <v/>
      </c>
      <c r="K8" s="10" t="n">
        <v>45</v>
      </c>
      <c r="L8" s="11">
        <f>K8/$F$8</f>
        <v/>
      </c>
      <c r="M8" s="10">
        <f>N8-K8</f>
        <v/>
      </c>
      <c r="N8" s="10" t="n">
        <v>45</v>
      </c>
      <c r="O8" s="11">
        <f>N8/$F$8</f>
        <v/>
      </c>
      <c r="P8" s="10">
        <f>Q8-N8</f>
        <v/>
      </c>
      <c r="Q8" s="10" t="n">
        <v>45</v>
      </c>
      <c r="R8" s="11">
        <f>Q8/$F$8</f>
        <v/>
      </c>
      <c r="S8" s="10">
        <f>T8-Q8</f>
        <v/>
      </c>
      <c r="T8" s="10" t="n">
        <v>45</v>
      </c>
      <c r="U8" s="11">
        <f>T8/$F$8</f>
        <v/>
      </c>
      <c r="V8" s="12">
        <f>W8-T8</f>
        <v/>
      </c>
      <c r="W8" s="12" t="n">
        <v>45</v>
      </c>
      <c r="X8" s="13">
        <f>W8/$F$8</f>
        <v/>
      </c>
      <c r="Y8" s="8" t="inlineStr">
        <is>
          <t>4-storey Villa (4,854 to 5,157 sq ft); left 3 bumi units</t>
        </is>
      </c>
    </row>
    <row r="9">
      <c r="A9" s="7" t="n">
        <v>5</v>
      </c>
      <c r="B9" s="8" t="inlineStr">
        <is>
          <t>Aosis Mont Kiara</t>
        </is>
      </c>
      <c r="C9" s="7" t="inlineStr">
        <is>
          <t>31274-1</t>
        </is>
      </c>
      <c r="D9" s="8" t="inlineStr">
        <is>
          <t>JKG Land Berhad (Modern Plus Sdn Bhd)</t>
        </is>
      </c>
      <c r="E9" s="9" t="n">
        <v>46113</v>
      </c>
      <c r="F9" s="10" t="n">
        <v>244</v>
      </c>
      <c r="G9" s="10" t="n">
        <v>0</v>
      </c>
      <c r="H9" s="10" t="n">
        <v>0</v>
      </c>
      <c r="I9" s="11">
        <f>H9/$F$9</f>
        <v/>
      </c>
      <c r="J9" s="10">
        <f>K9-H9</f>
        <v/>
      </c>
      <c r="K9" s="10" t="n">
        <v>0</v>
      </c>
      <c r="L9" s="11">
        <f>K9/$F$9</f>
        <v/>
      </c>
      <c r="M9" s="10">
        <f>N9-K9</f>
        <v/>
      </c>
      <c r="N9" s="10" t="n">
        <v>1</v>
      </c>
      <c r="O9" s="11">
        <f>N9/$F$9</f>
        <v/>
      </c>
      <c r="P9" s="10">
        <f>Q9-N9</f>
        <v/>
      </c>
      <c r="Q9" s="10" t="n">
        <v>1</v>
      </c>
      <c r="R9" s="11">
        <f>Q9/$F$9</f>
        <v/>
      </c>
      <c r="S9" s="10">
        <f>T9-Q9</f>
        <v/>
      </c>
      <c r="T9" s="10" t="n">
        <v>1</v>
      </c>
      <c r="U9" s="11">
        <f>T9/$F$9</f>
        <v/>
      </c>
      <c r="V9" s="12">
        <f>W9-T9</f>
        <v/>
      </c>
      <c r="W9" s="12" t="n">
        <v>1</v>
      </c>
      <c r="X9" s="13">
        <f>W9/$F$9</f>
        <v/>
      </c>
      <c r="Y9" s="8" t="inlineStr">
        <is>
          <t>Big unit (1,648 to 3,856 sq ft)</t>
        </is>
      </c>
    </row>
    <row r="10">
      <c r="A10" s="7" t="n">
        <v>6</v>
      </c>
      <c r="B10" s="8" t="inlineStr">
        <is>
          <t>ParkCity Residences</t>
        </is>
      </c>
      <c r="C10" s="7" t="inlineStr">
        <is>
          <t>2463-23</t>
        </is>
      </c>
      <c r="D10" s="8" t="inlineStr">
        <is>
          <t>Perdana ParkCity S/B</t>
        </is>
      </c>
      <c r="E10" s="9" t="n">
        <v>46229</v>
      </c>
      <c r="F10" s="10" t="n">
        <v>433</v>
      </c>
      <c r="G10" s="10" t="n"/>
      <c r="H10" s="10" t="n"/>
      <c r="I10" s="11" t="n"/>
      <c r="J10" s="10" t="n"/>
      <c r="K10" s="10" t="n">
        <v>32</v>
      </c>
      <c r="L10" s="11">
        <f>K10/$F$10</f>
        <v/>
      </c>
      <c r="M10" s="10">
        <f>N10-K10</f>
        <v/>
      </c>
      <c r="N10" s="10" t="n">
        <v>214</v>
      </c>
      <c r="O10" s="11">
        <f>N10/$F$10</f>
        <v/>
      </c>
      <c r="P10" s="10">
        <f>Q10-N10</f>
        <v/>
      </c>
      <c r="Q10" s="10" t="n">
        <v>262</v>
      </c>
      <c r="R10" s="11">
        <f>Q10/$F$10</f>
        <v/>
      </c>
      <c r="S10" s="10">
        <f>T10-Q10</f>
        <v/>
      </c>
      <c r="T10" s="10" t="n">
        <v>306</v>
      </c>
      <c r="U10" s="11">
        <f>T10/$F$10</f>
        <v/>
      </c>
      <c r="V10" s="12">
        <f>W10-T10</f>
        <v/>
      </c>
      <c r="W10" s="12" t="n">
        <v>335</v>
      </c>
      <c r="X10" s="13">
        <f>W10/$F$10</f>
        <v/>
      </c>
      <c r="Y10" s="8" t="inlineStr">
        <is>
          <t>Big unit (2,842 to 10,613 sq ft)</t>
        </is>
      </c>
    </row>
  </sheetData>
  <mergeCells count="6">
    <mergeCell ref="M3:O3"/>
    <mergeCell ref="S3:U3"/>
    <mergeCell ref="G3:I3"/>
    <mergeCell ref="V3:X3"/>
    <mergeCell ref="J3:L3"/>
    <mergeCell ref="P3: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2026-08-22T08:01:46Z</dcterms:created>
  <dcterms:modified xsi:type="dcterms:W3CDTF">2026-08-22T08:01:46Z</dcterms:modified>
</cp:coreProperties>
</file>