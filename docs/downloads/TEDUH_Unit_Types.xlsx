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Unit sold by type — weekly record</t>
        </is>
      </c>
    </row>
    <row r="2">
      <c r="A2" s="2" t="inlineStr">
        <is>
          <t>Generated 01/09/2026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10" t="n">
        <v>46262</v>
      </c>
      <c r="B19" s="11" t="n">
        <v>133</v>
      </c>
      <c r="C19" s="11" t="n">
        <v>4</v>
      </c>
      <c r="D19" s="11" t="n">
        <v>1</v>
      </c>
      <c r="E19" s="11" t="n">
        <v>79</v>
      </c>
      <c r="F19" s="11" t="n">
        <v>22</v>
      </c>
      <c r="G19" s="11" t="n">
        <v>3</v>
      </c>
      <c r="H19" s="11" t="n">
        <v>63</v>
      </c>
      <c r="I19" s="11" t="n">
        <v>2</v>
      </c>
      <c r="J19" s="11">
        <f>SUM(B19:I19)</f>
        <v/>
      </c>
      <c r="K19" s="12">
        <f>J19/J6</f>
        <v/>
      </c>
    </row>
    <row r="22">
      <c r="A22" s="3" t="inlineStr">
        <is>
          <t>Permas Heights</t>
        </is>
      </c>
    </row>
    <row r="23">
      <c r="A23" s="4" t="inlineStr">
        <is>
          <t>WEEK</t>
        </is>
      </c>
      <c r="B23" s="4" t="inlineStr">
        <is>
          <t>A
(650 sf)</t>
        </is>
      </c>
      <c r="C23" s="4" t="inlineStr">
        <is>
          <t>B
(801 sf)</t>
        </is>
      </c>
      <c r="D23" s="4" t="inlineStr">
        <is>
          <t>C
(948 sf)</t>
        </is>
      </c>
      <c r="E23" s="4" t="inlineStr">
        <is>
          <t>TOTAL</t>
        </is>
      </c>
      <c r="F23" s="4" t="inlineStr">
        <is>
          <t>%</t>
        </is>
      </c>
    </row>
    <row r="24">
      <c r="A24" s="5" t="inlineStr">
        <is>
          <t>TOTAL UNITS</t>
        </is>
      </c>
      <c r="B24" s="6" t="n">
        <v>600</v>
      </c>
      <c r="C24" s="6" t="n">
        <v>600</v>
      </c>
      <c r="D24" s="6" t="n">
        <v>750</v>
      </c>
      <c r="E24" s="6" t="n">
        <v>1950</v>
      </c>
    </row>
    <row r="25">
      <c r="A25" s="7" t="n">
        <v>46178</v>
      </c>
      <c r="B25" s="8" t="n">
        <v>289</v>
      </c>
      <c r="C25" s="8" t="n">
        <v>273</v>
      </c>
      <c r="D25" s="8" t="n">
        <v>268</v>
      </c>
      <c r="E25" s="8">
        <f>SUM(B25:D25)</f>
        <v/>
      </c>
      <c r="F25" s="9">
        <f>E25/E24</f>
        <v/>
      </c>
    </row>
    <row r="26">
      <c r="A26" s="7" t="n">
        <v>46185</v>
      </c>
      <c r="B26" s="8" t="n">
        <v>280</v>
      </c>
      <c r="C26" s="8" t="n">
        <v>302</v>
      </c>
      <c r="D26" s="8" t="n">
        <v>257</v>
      </c>
      <c r="E26" s="8">
        <f>SUM(B26:D26)</f>
        <v/>
      </c>
      <c r="F26" s="9">
        <f>E26/E24</f>
        <v/>
      </c>
    </row>
    <row r="27">
      <c r="A27" s="7" t="n">
        <v>46192</v>
      </c>
      <c r="B27" s="8" t="n">
        <v>320</v>
      </c>
      <c r="C27" s="8" t="n">
        <v>290</v>
      </c>
      <c r="D27" s="8" t="n">
        <v>285</v>
      </c>
      <c r="E27" s="8">
        <f>SUM(B27:D27)</f>
        <v/>
      </c>
      <c r="F27" s="9">
        <f>E27/E24</f>
        <v/>
      </c>
    </row>
    <row r="28">
      <c r="A28" s="7" t="n">
        <v>46199</v>
      </c>
      <c r="B28" s="8" t="n">
        <v>290</v>
      </c>
      <c r="C28" s="8" t="n">
        <v>289</v>
      </c>
      <c r="D28" s="8" t="n">
        <v>268</v>
      </c>
      <c r="E28" s="8">
        <f>SUM(B28:D28)</f>
        <v/>
      </c>
      <c r="F28" s="9">
        <f>E28/E24</f>
        <v/>
      </c>
    </row>
    <row r="29">
      <c r="A29" s="7" t="n">
        <v>46206</v>
      </c>
      <c r="B29" s="8" t="n">
        <v>309</v>
      </c>
      <c r="C29" s="8" t="n">
        <v>275</v>
      </c>
      <c r="D29" s="8" t="n">
        <v>269</v>
      </c>
      <c r="E29" s="8">
        <f>SUM(B29:D29)</f>
        <v/>
      </c>
      <c r="F29" s="9">
        <f>E29/E24</f>
        <v/>
      </c>
    </row>
    <row r="30">
      <c r="A30" s="7" t="n">
        <v>46213</v>
      </c>
      <c r="B30" s="8" t="n">
        <v>301</v>
      </c>
      <c r="C30" s="8" t="n">
        <v>317</v>
      </c>
      <c r="D30" s="8" t="n">
        <v>283</v>
      </c>
      <c r="E30" s="8">
        <f>SUM(B30:D30)</f>
        <v/>
      </c>
      <c r="F30" s="9">
        <f>E30/E24</f>
        <v/>
      </c>
    </row>
    <row r="31">
      <c r="A31" s="7" t="n">
        <v>46220</v>
      </c>
      <c r="B31" s="8" t="n">
        <v>302</v>
      </c>
      <c r="C31" s="8" t="n">
        <v>320</v>
      </c>
      <c r="D31" s="8" t="n">
        <v>283</v>
      </c>
      <c r="E31" s="8">
        <f>SUM(B31:D31)</f>
        <v/>
      </c>
      <c r="F31" s="9">
        <f>E31/E24</f>
        <v/>
      </c>
    </row>
    <row r="32">
      <c r="A32" s="7" t="n">
        <v>46227</v>
      </c>
      <c r="B32" s="8" t="n">
        <v>315</v>
      </c>
      <c r="C32" s="8" t="n">
        <v>297</v>
      </c>
      <c r="D32" s="8" t="n">
        <v>304</v>
      </c>
      <c r="E32" s="8">
        <f>SUM(B32:D32)</f>
        <v/>
      </c>
      <c r="F32" s="9">
        <f>E32/E24</f>
        <v/>
      </c>
    </row>
    <row r="33">
      <c r="A33" s="7" t="n">
        <v>46234</v>
      </c>
      <c r="B33" s="8" t="n">
        <v>306</v>
      </c>
      <c r="C33" s="8" t="n">
        <v>324</v>
      </c>
      <c r="D33" s="8" t="n">
        <v>295</v>
      </c>
      <c r="E33" s="8">
        <f>SUM(B33:D33)</f>
        <v/>
      </c>
      <c r="F33" s="9">
        <f>E33/E24</f>
        <v/>
      </c>
    </row>
    <row r="34">
      <c r="A34" s="7" t="n">
        <v>46241</v>
      </c>
      <c r="B34" s="8" t="n">
        <v>307</v>
      </c>
      <c r="C34" s="8" t="n">
        <v>329</v>
      </c>
      <c r="D34" s="8" t="n">
        <v>299</v>
      </c>
      <c r="E34" s="8">
        <f>SUM(B34:D34)</f>
        <v/>
      </c>
      <c r="F34" s="9">
        <f>E34/E24</f>
        <v/>
      </c>
    </row>
    <row r="35">
      <c r="A35" s="7" t="n">
        <v>46248</v>
      </c>
      <c r="B35" s="8" t="n">
        <v>309</v>
      </c>
      <c r="C35" s="8" t="n">
        <v>331</v>
      </c>
      <c r="D35" s="8" t="n">
        <v>302</v>
      </c>
      <c r="E35" s="8">
        <f>SUM(B35:D35)</f>
        <v/>
      </c>
      <c r="F35" s="9">
        <f>E35/E24</f>
        <v/>
      </c>
    </row>
    <row r="36">
      <c r="A36" s="7" t="n">
        <v>46255</v>
      </c>
      <c r="B36" s="8" t="n">
        <v>315</v>
      </c>
      <c r="C36" s="8" t="n">
        <v>334</v>
      </c>
      <c r="D36" s="8" t="n">
        <v>305</v>
      </c>
      <c r="E36" s="8">
        <f>SUM(B36:D36)</f>
        <v/>
      </c>
      <c r="F36" s="9">
        <f>E36/E24</f>
        <v/>
      </c>
    </row>
    <row r="37">
      <c r="A37" s="10" t="n">
        <v>46262</v>
      </c>
      <c r="B37" s="11" t="n">
        <v>324</v>
      </c>
      <c r="C37" s="11" t="n">
        <v>339</v>
      </c>
      <c r="D37" s="11" t="n">
        <v>309</v>
      </c>
      <c r="E37" s="11">
        <f>SUM(B37:D37)</f>
        <v/>
      </c>
      <c r="F37" s="12">
        <f>E37/E24</f>
        <v/>
      </c>
    </row>
    <row r="40">
      <c r="A40" s="3" t="inlineStr">
        <is>
          <t>Parkland by the River — Phase 1</t>
        </is>
      </c>
    </row>
    <row r="41">
      <c r="A41" s="4" t="inlineStr">
        <is>
          <t>WEEK</t>
        </is>
      </c>
      <c r="B41" s="4" t="inlineStr">
        <is>
          <t>A
(562 sf)</t>
        </is>
      </c>
      <c r="C41" s="4" t="inlineStr">
        <is>
          <t>B
(820 sf)</t>
        </is>
      </c>
      <c r="D41" s="4" t="inlineStr">
        <is>
          <t>C
(1020 sf)</t>
        </is>
      </c>
      <c r="E41" s="4" t="inlineStr">
        <is>
          <t>TOTAL</t>
        </is>
      </c>
      <c r="F41" s="4" t="inlineStr">
        <is>
          <t>%</t>
        </is>
      </c>
    </row>
    <row r="42">
      <c r="A42" s="5" t="inlineStr">
        <is>
          <t>TOTAL UNITS</t>
        </is>
      </c>
      <c r="B42" s="6" t="n">
        <v>180</v>
      </c>
      <c r="C42" s="6" t="n">
        <v>420</v>
      </c>
      <c r="D42" s="6" t="n">
        <v>478</v>
      </c>
      <c r="E42" s="6" t="n">
        <v>1078</v>
      </c>
    </row>
    <row r="43">
      <c r="A43" s="7" t="n">
        <v>46178</v>
      </c>
      <c r="B43" s="8" t="n">
        <v>129</v>
      </c>
      <c r="C43" s="8" t="n">
        <v>265</v>
      </c>
      <c r="D43" s="8" t="n">
        <v>271</v>
      </c>
      <c r="E43" s="8">
        <f>SUM(B43:D43)</f>
        <v/>
      </c>
      <c r="F43" s="9">
        <f>E43/E42</f>
        <v/>
      </c>
    </row>
    <row r="44">
      <c r="A44" s="7" t="n">
        <v>46185</v>
      </c>
      <c r="B44" s="8" t="n">
        <v>129</v>
      </c>
      <c r="C44" s="8" t="n">
        <v>264</v>
      </c>
      <c r="D44" s="8" t="n">
        <v>271</v>
      </c>
      <c r="E44" s="8">
        <f>SUM(B44:D44)</f>
        <v/>
      </c>
      <c r="F44" s="9">
        <f>E44/E42</f>
        <v/>
      </c>
    </row>
    <row r="45">
      <c r="A45" s="7" t="n">
        <v>46192</v>
      </c>
      <c r="B45" s="8" t="n">
        <v>129</v>
      </c>
      <c r="C45" s="8" t="n">
        <v>264</v>
      </c>
      <c r="D45" s="8" t="n">
        <v>271</v>
      </c>
      <c r="E45" s="8">
        <f>SUM(B45:D45)</f>
        <v/>
      </c>
      <c r="F45" s="9">
        <f>E45/E42</f>
        <v/>
      </c>
    </row>
    <row r="46">
      <c r="A46" s="7" t="n">
        <v>46199</v>
      </c>
      <c r="B46" s="8" t="n">
        <v>129</v>
      </c>
      <c r="C46" s="8" t="n">
        <v>265</v>
      </c>
      <c r="D46" s="8" t="n">
        <v>272</v>
      </c>
      <c r="E46" s="8">
        <f>SUM(B46:D46)</f>
        <v/>
      </c>
      <c r="F46" s="9">
        <f>E46/E42</f>
        <v/>
      </c>
    </row>
    <row r="47">
      <c r="A47" s="7" t="n">
        <v>46206</v>
      </c>
      <c r="B47" s="8" t="n">
        <v>129</v>
      </c>
      <c r="C47" s="8" t="n">
        <v>250</v>
      </c>
      <c r="D47" s="8" t="n">
        <v>287</v>
      </c>
      <c r="E47" s="8">
        <f>SUM(B47:D47)</f>
        <v/>
      </c>
      <c r="F47" s="9">
        <f>E47/E42</f>
        <v/>
      </c>
    </row>
    <row r="48">
      <c r="A48" s="7" t="n">
        <v>46213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E48/E42</f>
        <v/>
      </c>
    </row>
    <row r="49">
      <c r="A49" s="7" t="n">
        <v>46220</v>
      </c>
      <c r="B49" s="8" t="n">
        <v>89</v>
      </c>
      <c r="C49" s="8" t="n">
        <v>242</v>
      </c>
      <c r="D49" s="8" t="n">
        <v>335</v>
      </c>
      <c r="E49" s="8">
        <f>SUM(B49:D49)</f>
        <v/>
      </c>
      <c r="F49" s="9">
        <f>E49/E42</f>
        <v/>
      </c>
    </row>
    <row r="50">
      <c r="A50" s="7" t="n">
        <v>46227</v>
      </c>
      <c r="B50" s="8" t="n">
        <v>105</v>
      </c>
      <c r="C50" s="8" t="n">
        <v>267</v>
      </c>
      <c r="D50" s="8" t="n">
        <v>294</v>
      </c>
      <c r="E50" s="8">
        <f>SUM(B50:D50)</f>
        <v/>
      </c>
      <c r="F50" s="9">
        <f>E50/E42</f>
        <v/>
      </c>
    </row>
    <row r="51">
      <c r="A51" s="7" t="n">
        <v>46234</v>
      </c>
      <c r="B51" s="8" t="n">
        <v>129</v>
      </c>
      <c r="C51" s="8" t="n">
        <v>265</v>
      </c>
      <c r="D51" s="8" t="n">
        <v>272</v>
      </c>
      <c r="E51" s="8">
        <f>SUM(B51:D51)</f>
        <v/>
      </c>
      <c r="F51" s="9">
        <f>E51/E42</f>
        <v/>
      </c>
    </row>
    <row r="52">
      <c r="A52" s="7" t="n">
        <v>46241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E52/E42</f>
        <v/>
      </c>
    </row>
    <row r="53">
      <c r="A53" s="7" t="n">
        <v>46248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E53/E42</f>
        <v/>
      </c>
    </row>
    <row r="54">
      <c r="A54" s="7" t="n">
        <v>46255</v>
      </c>
      <c r="B54" s="8" t="n">
        <v>130</v>
      </c>
      <c r="C54" s="8" t="n">
        <v>265</v>
      </c>
      <c r="D54" s="8" t="n">
        <v>272</v>
      </c>
      <c r="E54" s="8">
        <f>SUM(B54:D54)</f>
        <v/>
      </c>
      <c r="F54" s="9">
        <f>E54/E42</f>
        <v/>
      </c>
    </row>
    <row r="55">
      <c r="A55" s="10" t="n">
        <v>46262</v>
      </c>
      <c r="B55" s="11" t="n">
        <v>130</v>
      </c>
      <c r="C55" s="11" t="n">
        <v>265</v>
      </c>
      <c r="D55" s="11" t="n">
        <v>272</v>
      </c>
      <c r="E55" s="11">
        <f>SUM(B55:D55)</f>
        <v/>
      </c>
      <c r="F55" s="12">
        <f>E55/E42</f>
        <v/>
      </c>
    </row>
    <row r="58">
      <c r="A58" s="3" t="inlineStr">
        <is>
          <t>Parkland by the River — Phase 2</t>
        </is>
      </c>
    </row>
    <row r="59">
      <c r="A59" s="4" t="inlineStr">
        <is>
          <t>WEEK</t>
        </is>
      </c>
      <c r="B59" s="4" t="inlineStr">
        <is>
          <t>A
(562 sf)</t>
        </is>
      </c>
      <c r="C59" s="4" t="inlineStr">
        <is>
          <t>B
(820 sf)</t>
        </is>
      </c>
      <c r="D59" s="4" t="inlineStr">
        <is>
          <t>C
(1020 sf)</t>
        </is>
      </c>
      <c r="E59" s="4" t="inlineStr">
        <is>
          <t>TOTAL</t>
        </is>
      </c>
      <c r="F59" s="4" t="inlineStr">
        <is>
          <t>%</t>
        </is>
      </c>
    </row>
    <row r="60">
      <c r="A60" s="5" t="inlineStr">
        <is>
          <t>TOTAL UNITS</t>
        </is>
      </c>
      <c r="B60" s="6" t="n">
        <v>180</v>
      </c>
      <c r="C60" s="6" t="n">
        <v>420</v>
      </c>
      <c r="D60" s="6" t="n">
        <v>478</v>
      </c>
      <c r="E60" s="6" t="n">
        <v>1078</v>
      </c>
    </row>
    <row r="61">
      <c r="A61" s="7" t="n">
        <v>46178</v>
      </c>
      <c r="B61" s="8" t="n">
        <v>75</v>
      </c>
      <c r="C61" s="8" t="n">
        <v>172</v>
      </c>
      <c r="D61" s="8" t="n">
        <v>91</v>
      </c>
      <c r="E61" s="8">
        <f>SUM(B61:D61)</f>
        <v/>
      </c>
      <c r="F61" s="9">
        <f>E61/E60</f>
        <v/>
      </c>
    </row>
    <row r="62">
      <c r="A62" s="7" t="n">
        <v>46185</v>
      </c>
      <c r="B62" s="8" t="n">
        <v>82</v>
      </c>
      <c r="C62" s="8" t="n">
        <v>156</v>
      </c>
      <c r="D62" s="8" t="n">
        <v>100</v>
      </c>
      <c r="E62" s="8">
        <f>SUM(B62:D62)</f>
        <v/>
      </c>
      <c r="F62" s="9">
        <f>E62/E60</f>
        <v/>
      </c>
    </row>
    <row r="63">
      <c r="A63" s="7" t="n">
        <v>46192</v>
      </c>
      <c r="B63" s="8" t="n">
        <v>87</v>
      </c>
      <c r="C63" s="8" t="n">
        <v>156</v>
      </c>
      <c r="D63" s="8" t="n">
        <v>100</v>
      </c>
      <c r="E63" s="8">
        <f>SUM(B63:D63)</f>
        <v/>
      </c>
      <c r="F63" s="9">
        <f>E63/E60</f>
        <v/>
      </c>
    </row>
    <row r="64">
      <c r="A64" s="7" t="n">
        <v>46199</v>
      </c>
      <c r="B64" s="8" t="n">
        <v>78</v>
      </c>
      <c r="C64" s="8" t="n">
        <v>156</v>
      </c>
      <c r="D64" s="8" t="n">
        <v>115</v>
      </c>
      <c r="E64" s="8">
        <f>SUM(B64:D64)</f>
        <v/>
      </c>
      <c r="F64" s="9">
        <f>E64/E60</f>
        <v/>
      </c>
    </row>
    <row r="65">
      <c r="A65" s="7" t="n">
        <v>46206</v>
      </c>
      <c r="B65" s="8" t="n">
        <v>78</v>
      </c>
      <c r="C65" s="8" t="n">
        <v>162</v>
      </c>
      <c r="D65" s="8" t="n">
        <v>112</v>
      </c>
      <c r="E65" s="8">
        <f>SUM(B65:D65)</f>
        <v/>
      </c>
      <c r="F65" s="9">
        <f>E65/E60</f>
        <v/>
      </c>
    </row>
    <row r="66">
      <c r="A66" s="7" t="n">
        <v>46213</v>
      </c>
      <c r="B66" s="8" t="n">
        <v>80</v>
      </c>
      <c r="C66" s="8" t="n">
        <v>171</v>
      </c>
      <c r="D66" s="8" t="n">
        <v>116</v>
      </c>
      <c r="E66" s="8">
        <f>SUM(B66:D66)</f>
        <v/>
      </c>
      <c r="F66" s="9">
        <f>E66/E60</f>
        <v/>
      </c>
    </row>
    <row r="67">
      <c r="A67" s="7" t="n">
        <v>46220</v>
      </c>
      <c r="B67" s="8" t="n">
        <v>78</v>
      </c>
      <c r="C67" s="8" t="n">
        <v>173</v>
      </c>
      <c r="D67" s="8" t="n">
        <v>120</v>
      </c>
      <c r="E67" s="8">
        <f>SUM(B67:D67)</f>
        <v/>
      </c>
      <c r="F67" s="9">
        <f>E67/E60</f>
        <v/>
      </c>
    </row>
    <row r="68">
      <c r="A68" s="7" t="n">
        <v>46227</v>
      </c>
      <c r="B68" s="8" t="n">
        <v>80</v>
      </c>
      <c r="C68" s="8" t="n">
        <v>175</v>
      </c>
      <c r="D68" s="8" t="n">
        <v>124</v>
      </c>
      <c r="E68" s="8">
        <f>SUM(B68:D68)</f>
        <v/>
      </c>
      <c r="F68" s="9">
        <f>E68/E60</f>
        <v/>
      </c>
    </row>
    <row r="69">
      <c r="A69" s="7" t="n">
        <v>46234</v>
      </c>
      <c r="B69" s="8" t="n">
        <v>85</v>
      </c>
      <c r="C69" s="8" t="n">
        <v>177</v>
      </c>
      <c r="D69" s="8" t="n">
        <v>122</v>
      </c>
      <c r="E69" s="8">
        <f>SUM(B69:D69)</f>
        <v/>
      </c>
      <c r="F69" s="9">
        <f>E69/E60</f>
        <v/>
      </c>
    </row>
    <row r="70">
      <c r="A70" s="7" t="n">
        <v>46241</v>
      </c>
      <c r="B70" s="8" t="n">
        <v>85</v>
      </c>
      <c r="C70" s="8" t="n">
        <v>177</v>
      </c>
      <c r="D70" s="8" t="n">
        <v>123</v>
      </c>
      <c r="E70" s="8">
        <f>SUM(B70:D70)</f>
        <v/>
      </c>
      <c r="F70" s="9">
        <f>E70/E60</f>
        <v/>
      </c>
    </row>
    <row r="71">
      <c r="A71" s="7" t="n">
        <v>46248</v>
      </c>
      <c r="B71" s="8" t="n">
        <v>86</v>
      </c>
      <c r="C71" s="8" t="n">
        <v>177</v>
      </c>
      <c r="D71" s="8" t="n">
        <v>123</v>
      </c>
      <c r="E71" s="8">
        <f>SUM(B71:D71)</f>
        <v/>
      </c>
      <c r="F71" s="9">
        <f>E71/E60</f>
        <v/>
      </c>
    </row>
    <row r="72">
      <c r="A72" s="7" t="n">
        <v>46255</v>
      </c>
      <c r="B72" s="8" t="n">
        <v>87</v>
      </c>
      <c r="C72" s="8" t="n">
        <v>181</v>
      </c>
      <c r="D72" s="8" t="n">
        <v>123</v>
      </c>
      <c r="E72" s="8">
        <f>SUM(B72:D72)</f>
        <v/>
      </c>
      <c r="F72" s="9">
        <f>E72/E60</f>
        <v/>
      </c>
    </row>
    <row r="73">
      <c r="A73" s="10" t="n">
        <v>46262</v>
      </c>
      <c r="B73" s="11" t="n">
        <v>88</v>
      </c>
      <c r="C73" s="11" t="n">
        <v>182</v>
      </c>
      <c r="D73" s="11" t="n">
        <v>125</v>
      </c>
      <c r="E73" s="11">
        <f>SUM(B73:D73)</f>
        <v/>
      </c>
      <c r="F73" s="12">
        <f>E73/E60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/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/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/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/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/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/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/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/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/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/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/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/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/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/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/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2026-09-01T08:09:54Z</dcterms:created>
  <dcterms:modified xsi:type="dcterms:W3CDTF">2026-09-01T08:09:55Z</dcterms:modified>
</cp:coreProperties>
</file>