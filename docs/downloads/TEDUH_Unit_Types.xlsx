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8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16/09/2026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10" t="n">
        <v>46276</v>
      </c>
      <c r="B21" s="11" t="n">
        <v>137</v>
      </c>
      <c r="C21" s="11" t="n">
        <v>4</v>
      </c>
      <c r="D21" s="11" t="n">
        <v>1</v>
      </c>
      <c r="E21" s="11" t="n">
        <v>80</v>
      </c>
      <c r="F21" s="11" t="n">
        <v>23</v>
      </c>
      <c r="G21" s="11" t="n">
        <v>3</v>
      </c>
      <c r="H21" s="11" t="n">
        <v>64</v>
      </c>
      <c r="I21" s="11" t="n">
        <v>2</v>
      </c>
      <c r="J21" s="11">
        <f>SUM(B21:I21)</f>
        <v/>
      </c>
      <c r="K21" s="12">
        <f>J21/J6</f>
        <v/>
      </c>
    </row>
    <row r="24">
      <c r="A24" s="3" t="inlineStr">
        <is>
          <t>Permas Heights</t>
        </is>
      </c>
    </row>
    <row r="25">
      <c r="A25" s="4" t="inlineStr">
        <is>
          <t>WEEK</t>
        </is>
      </c>
      <c r="B25" s="4" t="inlineStr">
        <is>
          <t>A
(650 sf)</t>
        </is>
      </c>
      <c r="C25" s="4" t="inlineStr">
        <is>
          <t>B
(801 sf)</t>
        </is>
      </c>
      <c r="D25" s="4" t="inlineStr">
        <is>
          <t>C
(948 sf)</t>
        </is>
      </c>
      <c r="E25" s="4" t="inlineStr">
        <is>
          <t>TOTAL</t>
        </is>
      </c>
      <c r="F25" s="4" t="inlineStr">
        <is>
          <t>%</t>
        </is>
      </c>
    </row>
    <row r="26">
      <c r="A26" s="5" t="inlineStr">
        <is>
          <t>TOTAL UNITS</t>
        </is>
      </c>
      <c r="B26" s="6" t="n">
        <v>600</v>
      </c>
      <c r="C26" s="6" t="n">
        <v>600</v>
      </c>
      <c r="D26" s="6" t="n">
        <v>750</v>
      </c>
      <c r="E26" s="6" t="n">
        <v>1950</v>
      </c>
    </row>
    <row r="27">
      <c r="A27" s="7" t="n">
        <v>46178</v>
      </c>
      <c r="B27" s="8" t="n">
        <v>289</v>
      </c>
      <c r="C27" s="8" t="n">
        <v>273</v>
      </c>
      <c r="D27" s="8" t="n">
        <v>268</v>
      </c>
      <c r="E27" s="8">
        <f>SUM(B27:D27)</f>
        <v/>
      </c>
      <c r="F27" s="9">
        <f>E27/E26</f>
        <v/>
      </c>
    </row>
    <row r="28">
      <c r="A28" s="7" t="n">
        <v>46185</v>
      </c>
      <c r="B28" s="8" t="n">
        <v>280</v>
      </c>
      <c r="C28" s="8" t="n">
        <v>302</v>
      </c>
      <c r="D28" s="8" t="n">
        <v>257</v>
      </c>
      <c r="E28" s="8">
        <f>SUM(B28:D28)</f>
        <v/>
      </c>
      <c r="F28" s="9">
        <f>E28/E26</f>
        <v/>
      </c>
    </row>
    <row r="29">
      <c r="A29" s="7" t="n">
        <v>46192</v>
      </c>
      <c r="B29" s="8" t="n">
        <v>320</v>
      </c>
      <c r="C29" s="8" t="n">
        <v>290</v>
      </c>
      <c r="D29" s="8" t="n">
        <v>285</v>
      </c>
      <c r="E29" s="8">
        <f>SUM(B29:D29)</f>
        <v/>
      </c>
      <c r="F29" s="9">
        <f>E29/E26</f>
        <v/>
      </c>
    </row>
    <row r="30">
      <c r="A30" s="7" t="n">
        <v>46199</v>
      </c>
      <c r="B30" s="8" t="n">
        <v>290</v>
      </c>
      <c r="C30" s="8" t="n">
        <v>289</v>
      </c>
      <c r="D30" s="8" t="n">
        <v>268</v>
      </c>
      <c r="E30" s="8">
        <f>SUM(B30:D30)</f>
        <v/>
      </c>
      <c r="F30" s="9">
        <f>E30/E26</f>
        <v/>
      </c>
    </row>
    <row r="31">
      <c r="A31" s="7" t="n">
        <v>46206</v>
      </c>
      <c r="B31" s="8" t="n">
        <v>309</v>
      </c>
      <c r="C31" s="8" t="n">
        <v>275</v>
      </c>
      <c r="D31" s="8" t="n">
        <v>269</v>
      </c>
      <c r="E31" s="8">
        <f>SUM(B31:D31)</f>
        <v/>
      </c>
      <c r="F31" s="9">
        <f>E31/E26</f>
        <v/>
      </c>
    </row>
    <row r="32">
      <c r="A32" s="7" t="n">
        <v>46213</v>
      </c>
      <c r="B32" s="8" t="n">
        <v>301</v>
      </c>
      <c r="C32" s="8" t="n">
        <v>317</v>
      </c>
      <c r="D32" s="8" t="n">
        <v>283</v>
      </c>
      <c r="E32" s="8">
        <f>SUM(B32:D32)</f>
        <v/>
      </c>
      <c r="F32" s="9">
        <f>E32/E26</f>
        <v/>
      </c>
    </row>
    <row r="33">
      <c r="A33" s="7" t="n">
        <v>46220</v>
      </c>
      <c r="B33" s="8" t="n">
        <v>302</v>
      </c>
      <c r="C33" s="8" t="n">
        <v>320</v>
      </c>
      <c r="D33" s="8" t="n">
        <v>283</v>
      </c>
      <c r="E33" s="8">
        <f>SUM(B33:D33)</f>
        <v/>
      </c>
      <c r="F33" s="9">
        <f>E33/E26</f>
        <v/>
      </c>
    </row>
    <row r="34">
      <c r="A34" s="7" t="n">
        <v>46227</v>
      </c>
      <c r="B34" s="8" t="n">
        <v>315</v>
      </c>
      <c r="C34" s="8" t="n">
        <v>297</v>
      </c>
      <c r="D34" s="8" t="n">
        <v>304</v>
      </c>
      <c r="E34" s="8">
        <f>SUM(B34:D34)</f>
        <v/>
      </c>
      <c r="F34" s="9">
        <f>E34/E26</f>
        <v/>
      </c>
    </row>
    <row r="35">
      <c r="A35" s="7" t="n">
        <v>46234</v>
      </c>
      <c r="B35" s="8" t="n">
        <v>306</v>
      </c>
      <c r="C35" s="8" t="n">
        <v>324</v>
      </c>
      <c r="D35" s="8" t="n">
        <v>295</v>
      </c>
      <c r="E35" s="8">
        <f>SUM(B35:D35)</f>
        <v/>
      </c>
      <c r="F35" s="9">
        <f>E35/E26</f>
        <v/>
      </c>
    </row>
    <row r="36">
      <c r="A36" s="7" t="n">
        <v>46241</v>
      </c>
      <c r="B36" s="8" t="n">
        <v>307</v>
      </c>
      <c r="C36" s="8" t="n">
        <v>329</v>
      </c>
      <c r="D36" s="8" t="n">
        <v>299</v>
      </c>
      <c r="E36" s="8">
        <f>SUM(B36:D36)</f>
        <v/>
      </c>
      <c r="F36" s="9">
        <f>E36/E26</f>
        <v/>
      </c>
    </row>
    <row r="37">
      <c r="A37" s="7" t="n">
        <v>46248</v>
      </c>
      <c r="B37" s="8" t="n">
        <v>309</v>
      </c>
      <c r="C37" s="8" t="n">
        <v>331</v>
      </c>
      <c r="D37" s="8" t="n">
        <v>302</v>
      </c>
      <c r="E37" s="8">
        <f>SUM(B37:D37)</f>
        <v/>
      </c>
      <c r="F37" s="9">
        <f>E37/E26</f>
        <v/>
      </c>
    </row>
    <row r="38">
      <c r="A38" s="7" t="n">
        <v>46255</v>
      </c>
      <c r="B38" s="8" t="n">
        <v>315</v>
      </c>
      <c r="C38" s="8" t="n">
        <v>334</v>
      </c>
      <c r="D38" s="8" t="n">
        <v>305</v>
      </c>
      <c r="E38" s="8">
        <f>SUM(B38:D38)</f>
        <v/>
      </c>
      <c r="F38" s="9">
        <f>E38/E26</f>
        <v/>
      </c>
    </row>
    <row r="39">
      <c r="A39" s="7" t="n">
        <v>46262</v>
      </c>
      <c r="B39" s="8" t="n">
        <v>324</v>
      </c>
      <c r="C39" s="8" t="n">
        <v>339</v>
      </c>
      <c r="D39" s="8" t="n">
        <v>309</v>
      </c>
      <c r="E39" s="8">
        <f>SUM(B39:D39)</f>
        <v/>
      </c>
      <c r="F39" s="9">
        <f>E39/E26</f>
        <v/>
      </c>
    </row>
    <row r="40">
      <c r="A40" s="7" t="n">
        <v>46269</v>
      </c>
      <c r="B40" s="8" t="n">
        <v>325</v>
      </c>
      <c r="C40" s="8" t="n">
        <v>341</v>
      </c>
      <c r="D40" s="8" t="n">
        <v>309</v>
      </c>
      <c r="E40" s="8">
        <f>SUM(B40:D40)</f>
        <v/>
      </c>
      <c r="F40" s="9">
        <f>E40/E26</f>
        <v/>
      </c>
    </row>
    <row r="41">
      <c r="A41" s="10" t="n">
        <v>46276</v>
      </c>
      <c r="B41" s="11" t="n">
        <v>326</v>
      </c>
      <c r="C41" s="11" t="n">
        <v>344</v>
      </c>
      <c r="D41" s="11" t="n">
        <v>312</v>
      </c>
      <c r="E41" s="11">
        <f>SUM(B41:D41)</f>
        <v/>
      </c>
      <c r="F41" s="12">
        <f>E41/E26</f>
        <v/>
      </c>
    </row>
    <row r="44">
      <c r="A44" s="3" t="inlineStr">
        <is>
          <t>Parkland by the River — Phase 1</t>
        </is>
      </c>
    </row>
    <row r="45">
      <c r="A45" s="4" t="inlineStr">
        <is>
          <t>WEEK</t>
        </is>
      </c>
      <c r="B45" s="4" t="inlineStr">
        <is>
          <t>A
(562 sf)</t>
        </is>
      </c>
      <c r="C45" s="4" t="inlineStr">
        <is>
          <t>B
(820 sf)</t>
        </is>
      </c>
      <c r="D45" s="4" t="inlineStr">
        <is>
          <t>C
(1020 sf)</t>
        </is>
      </c>
      <c r="E45" s="4" t="inlineStr">
        <is>
          <t>TOTAL</t>
        </is>
      </c>
      <c r="F45" s="4" t="inlineStr">
        <is>
          <t>%</t>
        </is>
      </c>
    </row>
    <row r="46">
      <c r="A46" s="5" t="inlineStr">
        <is>
          <t>TOTAL UNITS</t>
        </is>
      </c>
      <c r="B46" s="6" t="n">
        <v>180</v>
      </c>
      <c r="C46" s="6" t="n">
        <v>420</v>
      </c>
      <c r="D46" s="6" t="n">
        <v>478</v>
      </c>
      <c r="E46" s="6" t="n">
        <v>1078</v>
      </c>
    </row>
    <row r="47">
      <c r="A47" s="7" t="n">
        <v>46178</v>
      </c>
      <c r="B47" s="8" t="n">
        <v>129</v>
      </c>
      <c r="C47" s="8" t="n">
        <v>265</v>
      </c>
      <c r="D47" s="8" t="n">
        <v>271</v>
      </c>
      <c r="E47" s="8">
        <f>SUM(B47:D47)</f>
        <v/>
      </c>
      <c r="F47" s="9">
        <f>E47/E46</f>
        <v/>
      </c>
    </row>
    <row r="48">
      <c r="A48" s="7" t="n">
        <v>46185</v>
      </c>
      <c r="B48" s="8" t="n">
        <v>129</v>
      </c>
      <c r="C48" s="8" t="n">
        <v>264</v>
      </c>
      <c r="D48" s="8" t="n">
        <v>271</v>
      </c>
      <c r="E48" s="8">
        <f>SUM(B48:D48)</f>
        <v/>
      </c>
      <c r="F48" s="9">
        <f>E48/E46</f>
        <v/>
      </c>
    </row>
    <row r="49">
      <c r="A49" s="7" t="n">
        <v>46192</v>
      </c>
      <c r="B49" s="8" t="n">
        <v>129</v>
      </c>
      <c r="C49" s="8" t="n">
        <v>264</v>
      </c>
      <c r="D49" s="8" t="n">
        <v>271</v>
      </c>
      <c r="E49" s="8">
        <f>SUM(B49:D49)</f>
        <v/>
      </c>
      <c r="F49" s="9">
        <f>E49/E46</f>
        <v/>
      </c>
    </row>
    <row r="50">
      <c r="A50" s="7" t="n">
        <v>46199</v>
      </c>
      <c r="B50" s="8" t="n">
        <v>129</v>
      </c>
      <c r="C50" s="8" t="n">
        <v>265</v>
      </c>
      <c r="D50" s="8" t="n">
        <v>272</v>
      </c>
      <c r="E50" s="8">
        <f>SUM(B50:D50)</f>
        <v/>
      </c>
      <c r="F50" s="9">
        <f>E50/E46</f>
        <v/>
      </c>
    </row>
    <row r="51">
      <c r="A51" s="7" t="n">
        <v>46206</v>
      </c>
      <c r="B51" s="8" t="n">
        <v>129</v>
      </c>
      <c r="C51" s="8" t="n">
        <v>250</v>
      </c>
      <c r="D51" s="8" t="n">
        <v>287</v>
      </c>
      <c r="E51" s="8">
        <f>SUM(B51:D51)</f>
        <v/>
      </c>
      <c r="F51" s="9">
        <f>E51/E46</f>
        <v/>
      </c>
    </row>
    <row r="52">
      <c r="A52" s="7" t="n">
        <v>46213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E52/E46</f>
        <v/>
      </c>
    </row>
    <row r="53">
      <c r="A53" s="7" t="n">
        <v>46220</v>
      </c>
      <c r="B53" s="8" t="n">
        <v>89</v>
      </c>
      <c r="C53" s="8" t="n">
        <v>242</v>
      </c>
      <c r="D53" s="8" t="n">
        <v>335</v>
      </c>
      <c r="E53" s="8">
        <f>SUM(B53:D53)</f>
        <v/>
      </c>
      <c r="F53" s="9">
        <f>E53/E46</f>
        <v/>
      </c>
    </row>
    <row r="54">
      <c r="A54" s="7" t="n">
        <v>46227</v>
      </c>
      <c r="B54" s="8" t="n">
        <v>105</v>
      </c>
      <c r="C54" s="8" t="n">
        <v>267</v>
      </c>
      <c r="D54" s="8" t="n">
        <v>294</v>
      </c>
      <c r="E54" s="8">
        <f>SUM(B54:D54)</f>
        <v/>
      </c>
      <c r="F54" s="9">
        <f>E54/E46</f>
        <v/>
      </c>
    </row>
    <row r="55">
      <c r="A55" s="7" t="n">
        <v>46234</v>
      </c>
      <c r="B55" s="8" t="n">
        <v>129</v>
      </c>
      <c r="C55" s="8" t="n">
        <v>265</v>
      </c>
      <c r="D55" s="8" t="n">
        <v>272</v>
      </c>
      <c r="E55" s="8">
        <f>SUM(B55:D55)</f>
        <v/>
      </c>
      <c r="F55" s="9">
        <f>E55/E46</f>
        <v/>
      </c>
    </row>
    <row r="56">
      <c r="A56" s="7" t="n">
        <v>46241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E56/E46</f>
        <v/>
      </c>
    </row>
    <row r="57">
      <c r="A57" s="7" t="n">
        <v>46248</v>
      </c>
      <c r="B57" s="8" t="n">
        <v>129</v>
      </c>
      <c r="C57" s="8" t="n">
        <v>265</v>
      </c>
      <c r="D57" s="8" t="n">
        <v>272</v>
      </c>
      <c r="E57" s="8">
        <f>SUM(B57:D57)</f>
        <v/>
      </c>
      <c r="F57" s="9">
        <f>E57/E46</f>
        <v/>
      </c>
    </row>
    <row r="58">
      <c r="A58" s="7" t="n">
        <v>46255</v>
      </c>
      <c r="B58" s="8" t="n">
        <v>130</v>
      </c>
      <c r="C58" s="8" t="n">
        <v>265</v>
      </c>
      <c r="D58" s="8" t="n">
        <v>272</v>
      </c>
      <c r="E58" s="8">
        <f>SUM(B58:D58)</f>
        <v/>
      </c>
      <c r="F58" s="9">
        <f>E58/E46</f>
        <v/>
      </c>
    </row>
    <row r="59">
      <c r="A59" s="7" t="n">
        <v>46262</v>
      </c>
      <c r="B59" s="8" t="n">
        <v>130</v>
      </c>
      <c r="C59" s="8" t="n">
        <v>265</v>
      </c>
      <c r="D59" s="8" t="n">
        <v>272</v>
      </c>
      <c r="E59" s="8">
        <f>SUM(B59:D59)</f>
        <v/>
      </c>
      <c r="F59" s="9">
        <f>E59/E46</f>
        <v/>
      </c>
    </row>
    <row r="60">
      <c r="A60" s="7" t="n">
        <v>46269</v>
      </c>
      <c r="B60" s="8" t="n">
        <v>130</v>
      </c>
      <c r="C60" s="8" t="n">
        <v>266</v>
      </c>
      <c r="D60" s="8" t="n">
        <v>272</v>
      </c>
      <c r="E60" s="8">
        <f>SUM(B60:D60)</f>
        <v/>
      </c>
      <c r="F60" s="9">
        <f>E60/E46</f>
        <v/>
      </c>
    </row>
    <row r="61">
      <c r="A61" s="10" t="n">
        <v>46276</v>
      </c>
      <c r="B61" s="11" t="n">
        <v>130</v>
      </c>
      <c r="C61" s="11" t="n">
        <v>266</v>
      </c>
      <c r="D61" s="11" t="n">
        <v>274</v>
      </c>
      <c r="E61" s="11">
        <f>SUM(B61:D61)</f>
        <v/>
      </c>
      <c r="F61" s="12">
        <f>E61/E46</f>
        <v/>
      </c>
    </row>
    <row r="64">
      <c r="A64" s="3" t="inlineStr">
        <is>
          <t>Parkland by the River — Phase 2</t>
        </is>
      </c>
    </row>
    <row r="65">
      <c r="A65" s="4" t="inlineStr">
        <is>
          <t>WEEK</t>
        </is>
      </c>
      <c r="B65" s="4" t="inlineStr">
        <is>
          <t>A
(562 sf)</t>
        </is>
      </c>
      <c r="C65" s="4" t="inlineStr">
        <is>
          <t>B
(820 sf)</t>
        </is>
      </c>
      <c r="D65" s="4" t="inlineStr">
        <is>
          <t>C
(1020 sf)</t>
        </is>
      </c>
      <c r="E65" s="4" t="inlineStr">
        <is>
          <t>TOTAL</t>
        </is>
      </c>
      <c r="F65" s="4" t="inlineStr">
        <is>
          <t>%</t>
        </is>
      </c>
    </row>
    <row r="66">
      <c r="A66" s="5" t="inlineStr">
        <is>
          <t>TOTAL UNITS</t>
        </is>
      </c>
      <c r="B66" s="6" t="n">
        <v>180</v>
      </c>
      <c r="C66" s="6" t="n">
        <v>420</v>
      </c>
      <c r="D66" s="6" t="n">
        <v>478</v>
      </c>
      <c r="E66" s="6" t="n">
        <v>1078</v>
      </c>
    </row>
    <row r="67">
      <c r="A67" s="7" t="n">
        <v>46178</v>
      </c>
      <c r="B67" s="8" t="n">
        <v>75</v>
      </c>
      <c r="C67" s="8" t="n">
        <v>172</v>
      </c>
      <c r="D67" s="8" t="n">
        <v>91</v>
      </c>
      <c r="E67" s="8">
        <f>SUM(B67:D67)</f>
        <v/>
      </c>
      <c r="F67" s="9">
        <f>E67/E66</f>
        <v/>
      </c>
    </row>
    <row r="68">
      <c r="A68" s="7" t="n">
        <v>46185</v>
      </c>
      <c r="B68" s="8" t="n">
        <v>82</v>
      </c>
      <c r="C68" s="8" t="n">
        <v>156</v>
      </c>
      <c r="D68" s="8" t="n">
        <v>100</v>
      </c>
      <c r="E68" s="8">
        <f>SUM(B68:D68)</f>
        <v/>
      </c>
      <c r="F68" s="9">
        <f>E68/E66</f>
        <v/>
      </c>
    </row>
    <row r="69">
      <c r="A69" s="7" t="n">
        <v>46192</v>
      </c>
      <c r="B69" s="8" t="n">
        <v>87</v>
      </c>
      <c r="C69" s="8" t="n">
        <v>156</v>
      </c>
      <c r="D69" s="8" t="n">
        <v>100</v>
      </c>
      <c r="E69" s="8">
        <f>SUM(B69:D69)</f>
        <v/>
      </c>
      <c r="F69" s="9">
        <f>E69/E66</f>
        <v/>
      </c>
    </row>
    <row r="70">
      <c r="A70" s="7" t="n">
        <v>46199</v>
      </c>
      <c r="B70" s="8" t="n">
        <v>78</v>
      </c>
      <c r="C70" s="8" t="n">
        <v>156</v>
      </c>
      <c r="D70" s="8" t="n">
        <v>115</v>
      </c>
      <c r="E70" s="8">
        <f>SUM(B70:D70)</f>
        <v/>
      </c>
      <c r="F70" s="9">
        <f>E70/E66</f>
        <v/>
      </c>
    </row>
    <row r="71">
      <c r="A71" s="7" t="n">
        <v>46206</v>
      </c>
      <c r="B71" s="8" t="n">
        <v>78</v>
      </c>
      <c r="C71" s="8" t="n">
        <v>162</v>
      </c>
      <c r="D71" s="8" t="n">
        <v>112</v>
      </c>
      <c r="E71" s="8">
        <f>SUM(B71:D71)</f>
        <v/>
      </c>
      <c r="F71" s="9">
        <f>E71/E66</f>
        <v/>
      </c>
    </row>
    <row r="72">
      <c r="A72" s="7" t="n">
        <v>46213</v>
      </c>
      <c r="B72" s="8" t="n">
        <v>80</v>
      </c>
      <c r="C72" s="8" t="n">
        <v>171</v>
      </c>
      <c r="D72" s="8" t="n">
        <v>116</v>
      </c>
      <c r="E72" s="8">
        <f>SUM(B72:D72)</f>
        <v/>
      </c>
      <c r="F72" s="9">
        <f>E72/E66</f>
        <v/>
      </c>
    </row>
    <row r="73">
      <c r="A73" s="7" t="n">
        <v>46220</v>
      </c>
      <c r="B73" s="8" t="n">
        <v>78</v>
      </c>
      <c r="C73" s="8" t="n">
        <v>173</v>
      </c>
      <c r="D73" s="8" t="n">
        <v>120</v>
      </c>
      <c r="E73" s="8">
        <f>SUM(B73:D73)</f>
        <v/>
      </c>
      <c r="F73" s="9">
        <f>E73/E66</f>
        <v/>
      </c>
    </row>
    <row r="74">
      <c r="A74" s="7" t="n">
        <v>46227</v>
      </c>
      <c r="B74" s="8" t="n">
        <v>80</v>
      </c>
      <c r="C74" s="8" t="n">
        <v>175</v>
      </c>
      <c r="D74" s="8" t="n">
        <v>124</v>
      </c>
      <c r="E74" s="8">
        <f>SUM(B74:D74)</f>
        <v/>
      </c>
      <c r="F74" s="9">
        <f>E74/E66</f>
        <v/>
      </c>
    </row>
    <row r="75">
      <c r="A75" s="7" t="n">
        <v>46234</v>
      </c>
      <c r="B75" s="8" t="n">
        <v>85</v>
      </c>
      <c r="C75" s="8" t="n">
        <v>177</v>
      </c>
      <c r="D75" s="8" t="n">
        <v>122</v>
      </c>
      <c r="E75" s="8">
        <f>SUM(B75:D75)</f>
        <v/>
      </c>
      <c r="F75" s="9">
        <f>E75/E66</f>
        <v/>
      </c>
    </row>
    <row r="76">
      <c r="A76" s="7" t="n">
        <v>46241</v>
      </c>
      <c r="B76" s="8" t="n">
        <v>85</v>
      </c>
      <c r="C76" s="8" t="n">
        <v>177</v>
      </c>
      <c r="D76" s="8" t="n">
        <v>123</v>
      </c>
      <c r="E76" s="8">
        <f>SUM(B76:D76)</f>
        <v/>
      </c>
      <c r="F76" s="9">
        <f>E76/E66</f>
        <v/>
      </c>
    </row>
    <row r="77">
      <c r="A77" s="7" t="n">
        <v>46248</v>
      </c>
      <c r="B77" s="8" t="n">
        <v>86</v>
      </c>
      <c r="C77" s="8" t="n">
        <v>177</v>
      </c>
      <c r="D77" s="8" t="n">
        <v>123</v>
      </c>
      <c r="E77" s="8">
        <f>SUM(B77:D77)</f>
        <v/>
      </c>
      <c r="F77" s="9">
        <f>E77/E66</f>
        <v/>
      </c>
    </row>
    <row r="78">
      <c r="A78" s="7" t="n">
        <v>46255</v>
      </c>
      <c r="B78" s="8" t="n">
        <v>87</v>
      </c>
      <c r="C78" s="8" t="n">
        <v>181</v>
      </c>
      <c r="D78" s="8" t="n">
        <v>123</v>
      </c>
      <c r="E78" s="8">
        <f>SUM(B78:D78)</f>
        <v/>
      </c>
      <c r="F78" s="9">
        <f>E78/E66</f>
        <v/>
      </c>
    </row>
    <row r="79">
      <c r="A79" s="7" t="n">
        <v>46262</v>
      </c>
      <c r="B79" s="8" t="n">
        <v>88</v>
      </c>
      <c r="C79" s="8" t="n">
        <v>182</v>
      </c>
      <c r="D79" s="8" t="n">
        <v>125</v>
      </c>
      <c r="E79" s="8">
        <f>SUM(B79:D79)</f>
        <v/>
      </c>
      <c r="F79" s="9">
        <f>E79/E66</f>
        <v/>
      </c>
    </row>
    <row r="80">
      <c r="A80" s="7" t="n">
        <v>46269</v>
      </c>
      <c r="B80" s="8" t="n">
        <v>89</v>
      </c>
      <c r="C80" s="8" t="n">
        <v>185</v>
      </c>
      <c r="D80" s="8" t="n">
        <v>126</v>
      </c>
      <c r="E80" s="8">
        <f>SUM(B80:D80)</f>
        <v/>
      </c>
      <c r="F80" s="9">
        <f>E80/E66</f>
        <v/>
      </c>
    </row>
    <row r="81">
      <c r="A81" s="10" t="n">
        <v>46276</v>
      </c>
      <c r="B81" s="11" t="n">
        <v>89</v>
      </c>
      <c r="C81" s="11" t="n">
        <v>186</v>
      </c>
      <c r="D81" s="11" t="n">
        <v>127</v>
      </c>
      <c r="E81" s="11">
        <f>SUM(B81:D81)</f>
        <v/>
      </c>
      <c r="F81" s="12">
        <f>E81/E66</f>
        <v/>
      </c>
    </row>
    <row r="84">
      <c r="A84" s="3" t="inlineStr">
        <is>
          <t>HillView Senibong Cove — Block A</t>
        </is>
      </c>
    </row>
    <row r="85">
      <c r="A85" s="4" t="inlineStr">
        <is>
          <t>WEEK</t>
        </is>
      </c>
      <c r="B85" s="4" t="inlineStr">
        <is>
          <t>A1
(598 sf)</t>
        </is>
      </c>
      <c r="C85" s="4" t="inlineStr">
        <is>
          <t>A1a
(764 sf)</t>
        </is>
      </c>
      <c r="D85" s="4" t="inlineStr">
        <is>
          <t>B1
(853 sf)</t>
        </is>
      </c>
      <c r="E85" s="4" t="inlineStr">
        <is>
          <t>B1a
(1103 sf)</t>
        </is>
      </c>
      <c r="F85" s="4" t="inlineStr">
        <is>
          <t>B2
(890 sf)</t>
        </is>
      </c>
      <c r="G85" s="4" t="inlineStr">
        <is>
          <t>C1
(1007 sf)</t>
        </is>
      </c>
      <c r="H85" s="4" t="inlineStr">
        <is>
          <t>C1a
(1198 sf)</t>
        </is>
      </c>
      <c r="I85" s="4" t="inlineStr">
        <is>
          <t>C1b
(1007 sf)</t>
        </is>
      </c>
      <c r="J85" s="4" t="inlineStr">
        <is>
          <t>C1c
(1163 sf)</t>
        </is>
      </c>
      <c r="K85" s="4" t="inlineStr">
        <is>
          <t>D1
(1349 sf)</t>
        </is>
      </c>
      <c r="L85" s="4" t="inlineStr">
        <is>
          <t>D2
(1288 sf)</t>
        </is>
      </c>
      <c r="M85" s="4" t="inlineStr">
        <is>
          <t>D2a
(1288 sf)</t>
        </is>
      </c>
      <c r="N85" s="4" t="inlineStr">
        <is>
          <t>TOTAL</t>
        </is>
      </c>
      <c r="O85" s="4" t="inlineStr">
        <is>
          <t>%</t>
        </is>
      </c>
    </row>
    <row r="86">
      <c r="A86" s="5" t="inlineStr">
        <is>
          <t>TOTAL UNITS</t>
        </is>
      </c>
      <c r="B86" s="6" t="n">
        <v>111</v>
      </c>
      <c r="C86" s="6" t="n">
        <v>4</v>
      </c>
      <c r="D86" s="6" t="n">
        <v>125</v>
      </c>
      <c r="E86" s="6" t="n">
        <v>5</v>
      </c>
      <c r="F86" s="6" t="n">
        <v>40</v>
      </c>
      <c r="G86" s="6" t="n">
        <v>94</v>
      </c>
      <c r="H86" s="6" t="n">
        <v>2</v>
      </c>
      <c r="I86" s="6" t="n">
        <v>28</v>
      </c>
      <c r="J86" s="6" t="n">
        <v>1</v>
      </c>
      <c r="K86" s="6" t="n">
        <v>2</v>
      </c>
      <c r="L86" s="6" t="n">
        <v>2</v>
      </c>
      <c r="M86" s="6" t="n">
        <v>1</v>
      </c>
      <c r="N86" s="6" t="n">
        <v>415</v>
      </c>
    </row>
    <row r="87">
      <c r="A87" s="7" t="n">
        <v>46269</v>
      </c>
      <c r="B87" s="8" t="n">
        <v>20</v>
      </c>
      <c r="C87" s="8" t="n">
        <v>1</v>
      </c>
      <c r="D87" s="8" t="n">
        <v>15</v>
      </c>
      <c r="E87" s="8" t="n">
        <v>0</v>
      </c>
      <c r="F87" s="8" t="n">
        <v>4</v>
      </c>
      <c r="G87" s="8" t="n">
        <v>12</v>
      </c>
      <c r="H87" s="8" t="n">
        <v>0</v>
      </c>
      <c r="I87" s="8" t="n">
        <v>0</v>
      </c>
      <c r="J87" s="8" t="n">
        <v>0</v>
      </c>
      <c r="K87" s="8" t="n">
        <v>0</v>
      </c>
      <c r="L87" s="8" t="n">
        <v>0</v>
      </c>
      <c r="M87" s="8" t="n">
        <v>0</v>
      </c>
      <c r="N87" s="8">
        <f>SUM(B87:M87)</f>
        <v/>
      </c>
      <c r="O87" s="9">
        <f>N87/N86</f>
        <v/>
      </c>
    </row>
    <row r="88">
      <c r="A88" s="10" t="n">
        <v>46276</v>
      </c>
      <c r="B88" s="11" t="n">
        <v>20</v>
      </c>
      <c r="C88" s="11" t="n">
        <v>1</v>
      </c>
      <c r="D88" s="11" t="n">
        <v>15</v>
      </c>
      <c r="E88" s="11" t="n">
        <v>0</v>
      </c>
      <c r="F88" s="11" t="n">
        <v>5</v>
      </c>
      <c r="G88" s="11" t="n">
        <v>12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1" t="n">
        <v>0</v>
      </c>
      <c r="N88" s="11">
        <f>SUM(B88:M88)</f>
        <v/>
      </c>
      <c r="O88" s="12">
        <f>N88/N86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2026-09-16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2026-09-16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2026-09-16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2026-09-16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2026-09-16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2026-09-16T00:06:57Z</dcterms:created>
  <dcterms:modified xsi:type="dcterms:W3CDTF">2026-09-16T00:06:58Z</dcterms:modified>
</cp:coreProperties>
</file>