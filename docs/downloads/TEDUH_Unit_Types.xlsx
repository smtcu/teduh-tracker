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08/09/2026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10" t="n">
        <v>46269</v>
      </c>
      <c r="B20" s="11" t="n">
        <v>136</v>
      </c>
      <c r="C20" s="11" t="n">
        <v>4</v>
      </c>
      <c r="D20" s="11" t="n">
        <v>1</v>
      </c>
      <c r="E20" s="11" t="n">
        <v>79</v>
      </c>
      <c r="F20" s="11" t="n">
        <v>22</v>
      </c>
      <c r="G20" s="11" t="n">
        <v>3</v>
      </c>
      <c r="H20" s="11" t="n">
        <v>63</v>
      </c>
      <c r="I20" s="11" t="n">
        <v>2</v>
      </c>
      <c r="J20" s="11">
        <f>SUM(B20:I20)</f>
        <v/>
      </c>
      <c r="K20" s="12">
        <f>J20/J6</f>
        <v/>
      </c>
    </row>
    <row r="23">
      <c r="A23" s="3" t="inlineStr">
        <is>
          <t>Permas Heights</t>
        </is>
      </c>
    </row>
    <row r="24">
      <c r="A24" s="4" t="inlineStr">
        <is>
          <t>WEEK</t>
        </is>
      </c>
      <c r="B24" s="4" t="inlineStr">
        <is>
          <t>A
(650 sf)</t>
        </is>
      </c>
      <c r="C24" s="4" t="inlineStr">
        <is>
          <t>B
(801 sf)</t>
        </is>
      </c>
      <c r="D24" s="4" t="inlineStr">
        <is>
          <t>C
(948 sf)</t>
        </is>
      </c>
      <c r="E24" s="4" t="inlineStr">
        <is>
          <t>TOTAL</t>
        </is>
      </c>
      <c r="F24" s="4" t="inlineStr">
        <is>
          <t>%</t>
        </is>
      </c>
    </row>
    <row r="25">
      <c r="A25" s="5" t="inlineStr">
        <is>
          <t>TOTAL UNITS</t>
        </is>
      </c>
      <c r="B25" s="6" t="n">
        <v>600</v>
      </c>
      <c r="C25" s="6" t="n">
        <v>600</v>
      </c>
      <c r="D25" s="6" t="n">
        <v>750</v>
      </c>
      <c r="E25" s="6" t="n">
        <v>1950</v>
      </c>
    </row>
    <row r="26">
      <c r="A26" s="7" t="n">
        <v>46178</v>
      </c>
      <c r="B26" s="8" t="n">
        <v>289</v>
      </c>
      <c r="C26" s="8" t="n">
        <v>273</v>
      </c>
      <c r="D26" s="8" t="n">
        <v>268</v>
      </c>
      <c r="E26" s="8">
        <f>SUM(B26:D26)</f>
        <v/>
      </c>
      <c r="F26" s="9">
        <f>E26/E25</f>
        <v/>
      </c>
    </row>
    <row r="27">
      <c r="A27" s="7" t="n">
        <v>46185</v>
      </c>
      <c r="B27" s="8" t="n">
        <v>280</v>
      </c>
      <c r="C27" s="8" t="n">
        <v>302</v>
      </c>
      <c r="D27" s="8" t="n">
        <v>257</v>
      </c>
      <c r="E27" s="8">
        <f>SUM(B27:D27)</f>
        <v/>
      </c>
      <c r="F27" s="9">
        <f>E27/E25</f>
        <v/>
      </c>
    </row>
    <row r="28">
      <c r="A28" s="7" t="n">
        <v>46192</v>
      </c>
      <c r="B28" s="8" t="n">
        <v>320</v>
      </c>
      <c r="C28" s="8" t="n">
        <v>290</v>
      </c>
      <c r="D28" s="8" t="n">
        <v>285</v>
      </c>
      <c r="E28" s="8">
        <f>SUM(B28:D28)</f>
        <v/>
      </c>
      <c r="F28" s="9">
        <f>E28/E25</f>
        <v/>
      </c>
    </row>
    <row r="29">
      <c r="A29" s="7" t="n">
        <v>46199</v>
      </c>
      <c r="B29" s="8" t="n">
        <v>290</v>
      </c>
      <c r="C29" s="8" t="n">
        <v>289</v>
      </c>
      <c r="D29" s="8" t="n">
        <v>268</v>
      </c>
      <c r="E29" s="8">
        <f>SUM(B29:D29)</f>
        <v/>
      </c>
      <c r="F29" s="9">
        <f>E29/E25</f>
        <v/>
      </c>
    </row>
    <row r="30">
      <c r="A30" s="7" t="n">
        <v>46206</v>
      </c>
      <c r="B30" s="8" t="n">
        <v>309</v>
      </c>
      <c r="C30" s="8" t="n">
        <v>275</v>
      </c>
      <c r="D30" s="8" t="n">
        <v>269</v>
      </c>
      <c r="E30" s="8">
        <f>SUM(B30:D30)</f>
        <v/>
      </c>
      <c r="F30" s="9">
        <f>E30/E25</f>
        <v/>
      </c>
    </row>
    <row r="31">
      <c r="A31" s="7" t="n">
        <v>46213</v>
      </c>
      <c r="B31" s="8" t="n">
        <v>301</v>
      </c>
      <c r="C31" s="8" t="n">
        <v>317</v>
      </c>
      <c r="D31" s="8" t="n">
        <v>283</v>
      </c>
      <c r="E31" s="8">
        <f>SUM(B31:D31)</f>
        <v/>
      </c>
      <c r="F31" s="9">
        <f>E31/E25</f>
        <v/>
      </c>
    </row>
    <row r="32">
      <c r="A32" s="7" t="n">
        <v>46220</v>
      </c>
      <c r="B32" s="8" t="n">
        <v>302</v>
      </c>
      <c r="C32" s="8" t="n">
        <v>320</v>
      </c>
      <c r="D32" s="8" t="n">
        <v>283</v>
      </c>
      <c r="E32" s="8">
        <f>SUM(B32:D32)</f>
        <v/>
      </c>
      <c r="F32" s="9">
        <f>E32/E25</f>
        <v/>
      </c>
    </row>
    <row r="33">
      <c r="A33" s="7" t="n">
        <v>46227</v>
      </c>
      <c r="B33" s="8" t="n">
        <v>315</v>
      </c>
      <c r="C33" s="8" t="n">
        <v>297</v>
      </c>
      <c r="D33" s="8" t="n">
        <v>304</v>
      </c>
      <c r="E33" s="8">
        <f>SUM(B33:D33)</f>
        <v/>
      </c>
      <c r="F33" s="9">
        <f>E33/E25</f>
        <v/>
      </c>
    </row>
    <row r="34">
      <c r="A34" s="7" t="n">
        <v>46234</v>
      </c>
      <c r="B34" s="8" t="n">
        <v>306</v>
      </c>
      <c r="C34" s="8" t="n">
        <v>324</v>
      </c>
      <c r="D34" s="8" t="n">
        <v>295</v>
      </c>
      <c r="E34" s="8">
        <f>SUM(B34:D34)</f>
        <v/>
      </c>
      <c r="F34" s="9">
        <f>E34/E25</f>
        <v/>
      </c>
    </row>
    <row r="35">
      <c r="A35" s="7" t="n">
        <v>46241</v>
      </c>
      <c r="B35" s="8" t="n">
        <v>307</v>
      </c>
      <c r="C35" s="8" t="n">
        <v>329</v>
      </c>
      <c r="D35" s="8" t="n">
        <v>299</v>
      </c>
      <c r="E35" s="8">
        <f>SUM(B35:D35)</f>
        <v/>
      </c>
      <c r="F35" s="9">
        <f>E35/E25</f>
        <v/>
      </c>
    </row>
    <row r="36">
      <c r="A36" s="7" t="n">
        <v>46248</v>
      </c>
      <c r="B36" s="8" t="n">
        <v>309</v>
      </c>
      <c r="C36" s="8" t="n">
        <v>331</v>
      </c>
      <c r="D36" s="8" t="n">
        <v>302</v>
      </c>
      <c r="E36" s="8">
        <f>SUM(B36:D36)</f>
        <v/>
      </c>
      <c r="F36" s="9">
        <f>E36/E25</f>
        <v/>
      </c>
    </row>
    <row r="37">
      <c r="A37" s="7" t="n">
        <v>46255</v>
      </c>
      <c r="B37" s="8" t="n">
        <v>315</v>
      </c>
      <c r="C37" s="8" t="n">
        <v>334</v>
      </c>
      <c r="D37" s="8" t="n">
        <v>305</v>
      </c>
      <c r="E37" s="8">
        <f>SUM(B37:D37)</f>
        <v/>
      </c>
      <c r="F37" s="9">
        <f>E37/E25</f>
        <v/>
      </c>
    </row>
    <row r="38">
      <c r="A38" s="7" t="n">
        <v>46262</v>
      </c>
      <c r="B38" s="8" t="n">
        <v>324</v>
      </c>
      <c r="C38" s="8" t="n">
        <v>339</v>
      </c>
      <c r="D38" s="8" t="n">
        <v>309</v>
      </c>
      <c r="E38" s="8">
        <f>SUM(B38:D38)</f>
        <v/>
      </c>
      <c r="F38" s="9">
        <f>E38/E25</f>
        <v/>
      </c>
    </row>
    <row r="39">
      <c r="A39" s="10" t="n">
        <v>46269</v>
      </c>
      <c r="B39" s="11" t="n">
        <v>325</v>
      </c>
      <c r="C39" s="11" t="n">
        <v>341</v>
      </c>
      <c r="D39" s="11" t="n">
        <v>309</v>
      </c>
      <c r="E39" s="11">
        <f>SUM(B39:D39)</f>
        <v/>
      </c>
      <c r="F39" s="12">
        <f>E39/E25</f>
        <v/>
      </c>
    </row>
    <row r="42">
      <c r="A42" s="3" t="inlineStr">
        <is>
          <t>Parkland by the River — Phase 1</t>
        </is>
      </c>
    </row>
    <row r="43">
      <c r="A43" s="4" t="inlineStr">
        <is>
          <t>WEEK</t>
        </is>
      </c>
      <c r="B43" s="4" t="inlineStr">
        <is>
          <t>A
(562 sf)</t>
        </is>
      </c>
      <c r="C43" s="4" t="inlineStr">
        <is>
          <t>B
(820 sf)</t>
        </is>
      </c>
      <c r="D43" s="4" t="inlineStr">
        <is>
          <t>C
(1020 sf)</t>
        </is>
      </c>
      <c r="E43" s="4" t="inlineStr">
        <is>
          <t>TOTAL</t>
        </is>
      </c>
      <c r="F43" s="4" t="inlineStr">
        <is>
          <t>%</t>
        </is>
      </c>
    </row>
    <row r="44">
      <c r="A44" s="5" t="inlineStr">
        <is>
          <t>TOTAL UNITS</t>
        </is>
      </c>
      <c r="B44" s="6" t="n">
        <v>180</v>
      </c>
      <c r="C44" s="6" t="n">
        <v>420</v>
      </c>
      <c r="D44" s="6" t="n">
        <v>478</v>
      </c>
      <c r="E44" s="6" t="n">
        <v>1078</v>
      </c>
    </row>
    <row r="45">
      <c r="A45" s="7" t="n">
        <v>46178</v>
      </c>
      <c r="B45" s="8" t="n">
        <v>129</v>
      </c>
      <c r="C45" s="8" t="n">
        <v>265</v>
      </c>
      <c r="D45" s="8" t="n">
        <v>271</v>
      </c>
      <c r="E45" s="8">
        <f>SUM(B45:D45)</f>
        <v/>
      </c>
      <c r="F45" s="9">
        <f>E45/E44</f>
        <v/>
      </c>
    </row>
    <row r="46">
      <c r="A46" s="7" t="n">
        <v>46185</v>
      </c>
      <c r="B46" s="8" t="n">
        <v>129</v>
      </c>
      <c r="C46" s="8" t="n">
        <v>264</v>
      </c>
      <c r="D46" s="8" t="n">
        <v>271</v>
      </c>
      <c r="E46" s="8">
        <f>SUM(B46:D46)</f>
        <v/>
      </c>
      <c r="F46" s="9">
        <f>E46/E44</f>
        <v/>
      </c>
    </row>
    <row r="47">
      <c r="A47" s="7" t="n">
        <v>46192</v>
      </c>
      <c r="B47" s="8" t="n">
        <v>129</v>
      </c>
      <c r="C47" s="8" t="n">
        <v>264</v>
      </c>
      <c r="D47" s="8" t="n">
        <v>271</v>
      </c>
      <c r="E47" s="8">
        <f>SUM(B47:D47)</f>
        <v/>
      </c>
      <c r="F47" s="9">
        <f>E47/E44</f>
        <v/>
      </c>
    </row>
    <row r="48">
      <c r="A48" s="7" t="n">
        <v>46199</v>
      </c>
      <c r="B48" s="8" t="n">
        <v>129</v>
      </c>
      <c r="C48" s="8" t="n">
        <v>265</v>
      </c>
      <c r="D48" s="8" t="n">
        <v>272</v>
      </c>
      <c r="E48" s="8">
        <f>SUM(B48:D48)</f>
        <v/>
      </c>
      <c r="F48" s="9">
        <f>E48/E44</f>
        <v/>
      </c>
    </row>
    <row r="49">
      <c r="A49" s="7" t="n">
        <v>46206</v>
      </c>
      <c r="B49" s="8" t="n">
        <v>129</v>
      </c>
      <c r="C49" s="8" t="n">
        <v>250</v>
      </c>
      <c r="D49" s="8" t="n">
        <v>287</v>
      </c>
      <c r="E49" s="8">
        <f>SUM(B49:D49)</f>
        <v/>
      </c>
      <c r="F49" s="9">
        <f>E49/E44</f>
        <v/>
      </c>
    </row>
    <row r="50">
      <c r="A50" s="7" t="n">
        <v>46213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E50/E44</f>
        <v/>
      </c>
    </row>
    <row r="51">
      <c r="A51" s="7" t="n">
        <v>46220</v>
      </c>
      <c r="B51" s="8" t="n">
        <v>89</v>
      </c>
      <c r="C51" s="8" t="n">
        <v>242</v>
      </c>
      <c r="D51" s="8" t="n">
        <v>335</v>
      </c>
      <c r="E51" s="8">
        <f>SUM(B51:D51)</f>
        <v/>
      </c>
      <c r="F51" s="9">
        <f>E51/E44</f>
        <v/>
      </c>
    </row>
    <row r="52">
      <c r="A52" s="7" t="n">
        <v>46227</v>
      </c>
      <c r="B52" s="8" t="n">
        <v>105</v>
      </c>
      <c r="C52" s="8" t="n">
        <v>267</v>
      </c>
      <c r="D52" s="8" t="n">
        <v>294</v>
      </c>
      <c r="E52" s="8">
        <f>SUM(B52:D52)</f>
        <v/>
      </c>
      <c r="F52" s="9">
        <f>E52/E44</f>
        <v/>
      </c>
    </row>
    <row r="53">
      <c r="A53" s="7" t="n">
        <v>46234</v>
      </c>
      <c r="B53" s="8" t="n">
        <v>129</v>
      </c>
      <c r="C53" s="8" t="n">
        <v>265</v>
      </c>
      <c r="D53" s="8" t="n">
        <v>272</v>
      </c>
      <c r="E53" s="8">
        <f>SUM(B53:D53)</f>
        <v/>
      </c>
      <c r="F53" s="9">
        <f>E53/E44</f>
        <v/>
      </c>
    </row>
    <row r="54">
      <c r="A54" s="7" t="n">
        <v>46241</v>
      </c>
      <c r="B54" s="8" t="n">
        <v>129</v>
      </c>
      <c r="C54" s="8" t="n">
        <v>265</v>
      </c>
      <c r="D54" s="8" t="n">
        <v>272</v>
      </c>
      <c r="E54" s="8">
        <f>SUM(B54:D54)</f>
        <v/>
      </c>
      <c r="F54" s="9">
        <f>E54/E44</f>
        <v/>
      </c>
    </row>
    <row r="55">
      <c r="A55" s="7" t="n">
        <v>46248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E55/E44</f>
        <v/>
      </c>
    </row>
    <row r="56">
      <c r="A56" s="7" t="n">
        <v>46255</v>
      </c>
      <c r="B56" s="8" t="n">
        <v>130</v>
      </c>
      <c r="C56" s="8" t="n">
        <v>265</v>
      </c>
      <c r="D56" s="8" t="n">
        <v>272</v>
      </c>
      <c r="E56" s="8">
        <f>SUM(B56:D56)</f>
        <v/>
      </c>
      <c r="F56" s="9">
        <f>E56/E44</f>
        <v/>
      </c>
    </row>
    <row r="57">
      <c r="A57" s="7" t="n">
        <v>46262</v>
      </c>
      <c r="B57" s="8" t="n">
        <v>130</v>
      </c>
      <c r="C57" s="8" t="n">
        <v>265</v>
      </c>
      <c r="D57" s="8" t="n">
        <v>272</v>
      </c>
      <c r="E57" s="8">
        <f>SUM(B57:D57)</f>
        <v/>
      </c>
      <c r="F57" s="9">
        <f>E57/E44</f>
        <v/>
      </c>
    </row>
    <row r="58">
      <c r="A58" s="10" t="n">
        <v>46269</v>
      </c>
      <c r="B58" s="11" t="n">
        <v>130</v>
      </c>
      <c r="C58" s="11" t="n">
        <v>266</v>
      </c>
      <c r="D58" s="11" t="n">
        <v>272</v>
      </c>
      <c r="E58" s="11">
        <f>SUM(B58:D58)</f>
        <v/>
      </c>
      <c r="F58" s="12">
        <f>E58/E44</f>
        <v/>
      </c>
    </row>
    <row r="61">
      <c r="A61" s="3" t="inlineStr">
        <is>
          <t>Parkland by the River — Phase 2</t>
        </is>
      </c>
    </row>
    <row r="62">
      <c r="A62" s="4" t="inlineStr">
        <is>
          <t>WEEK</t>
        </is>
      </c>
      <c r="B62" s="4" t="inlineStr">
        <is>
          <t>A
(562 sf)</t>
        </is>
      </c>
      <c r="C62" s="4" t="inlineStr">
        <is>
          <t>B
(820 sf)</t>
        </is>
      </c>
      <c r="D62" s="4" t="inlineStr">
        <is>
          <t>C
(1020 sf)</t>
        </is>
      </c>
      <c r="E62" s="4" t="inlineStr">
        <is>
          <t>TOTAL</t>
        </is>
      </c>
      <c r="F62" s="4" t="inlineStr">
        <is>
          <t>%</t>
        </is>
      </c>
    </row>
    <row r="63">
      <c r="A63" s="5" t="inlineStr">
        <is>
          <t>TOTAL UNITS</t>
        </is>
      </c>
      <c r="B63" s="6" t="n">
        <v>180</v>
      </c>
      <c r="C63" s="6" t="n">
        <v>420</v>
      </c>
      <c r="D63" s="6" t="n">
        <v>478</v>
      </c>
      <c r="E63" s="6" t="n">
        <v>1078</v>
      </c>
    </row>
    <row r="64">
      <c r="A64" s="7" t="n">
        <v>46178</v>
      </c>
      <c r="B64" s="8" t="n">
        <v>75</v>
      </c>
      <c r="C64" s="8" t="n">
        <v>172</v>
      </c>
      <c r="D64" s="8" t="n">
        <v>91</v>
      </c>
      <c r="E64" s="8">
        <f>SUM(B64:D64)</f>
        <v/>
      </c>
      <c r="F64" s="9">
        <f>E64/E63</f>
        <v/>
      </c>
    </row>
    <row r="65">
      <c r="A65" s="7" t="n">
        <v>46185</v>
      </c>
      <c r="B65" s="8" t="n">
        <v>82</v>
      </c>
      <c r="C65" s="8" t="n">
        <v>156</v>
      </c>
      <c r="D65" s="8" t="n">
        <v>100</v>
      </c>
      <c r="E65" s="8">
        <f>SUM(B65:D65)</f>
        <v/>
      </c>
      <c r="F65" s="9">
        <f>E65/E63</f>
        <v/>
      </c>
    </row>
    <row r="66">
      <c r="A66" s="7" t="n">
        <v>46192</v>
      </c>
      <c r="B66" s="8" t="n">
        <v>87</v>
      </c>
      <c r="C66" s="8" t="n">
        <v>156</v>
      </c>
      <c r="D66" s="8" t="n">
        <v>100</v>
      </c>
      <c r="E66" s="8">
        <f>SUM(B66:D66)</f>
        <v/>
      </c>
      <c r="F66" s="9">
        <f>E66/E63</f>
        <v/>
      </c>
    </row>
    <row r="67">
      <c r="A67" s="7" t="n">
        <v>46199</v>
      </c>
      <c r="B67" s="8" t="n">
        <v>78</v>
      </c>
      <c r="C67" s="8" t="n">
        <v>156</v>
      </c>
      <c r="D67" s="8" t="n">
        <v>115</v>
      </c>
      <c r="E67" s="8">
        <f>SUM(B67:D67)</f>
        <v/>
      </c>
      <c r="F67" s="9">
        <f>E67/E63</f>
        <v/>
      </c>
    </row>
    <row r="68">
      <c r="A68" s="7" t="n">
        <v>46206</v>
      </c>
      <c r="B68" s="8" t="n">
        <v>78</v>
      </c>
      <c r="C68" s="8" t="n">
        <v>162</v>
      </c>
      <c r="D68" s="8" t="n">
        <v>112</v>
      </c>
      <c r="E68" s="8">
        <f>SUM(B68:D68)</f>
        <v/>
      </c>
      <c r="F68" s="9">
        <f>E68/E63</f>
        <v/>
      </c>
    </row>
    <row r="69">
      <c r="A69" s="7" t="n">
        <v>46213</v>
      </c>
      <c r="B69" s="8" t="n">
        <v>80</v>
      </c>
      <c r="C69" s="8" t="n">
        <v>171</v>
      </c>
      <c r="D69" s="8" t="n">
        <v>116</v>
      </c>
      <c r="E69" s="8">
        <f>SUM(B69:D69)</f>
        <v/>
      </c>
      <c r="F69" s="9">
        <f>E69/E63</f>
        <v/>
      </c>
    </row>
    <row r="70">
      <c r="A70" s="7" t="n">
        <v>46220</v>
      </c>
      <c r="B70" s="8" t="n">
        <v>78</v>
      </c>
      <c r="C70" s="8" t="n">
        <v>173</v>
      </c>
      <c r="D70" s="8" t="n">
        <v>120</v>
      </c>
      <c r="E70" s="8">
        <f>SUM(B70:D70)</f>
        <v/>
      </c>
      <c r="F70" s="9">
        <f>E70/E63</f>
        <v/>
      </c>
    </row>
    <row r="71">
      <c r="A71" s="7" t="n">
        <v>46227</v>
      </c>
      <c r="B71" s="8" t="n">
        <v>80</v>
      </c>
      <c r="C71" s="8" t="n">
        <v>175</v>
      </c>
      <c r="D71" s="8" t="n">
        <v>124</v>
      </c>
      <c r="E71" s="8">
        <f>SUM(B71:D71)</f>
        <v/>
      </c>
      <c r="F71" s="9">
        <f>E71/E63</f>
        <v/>
      </c>
    </row>
    <row r="72">
      <c r="A72" s="7" t="n">
        <v>46234</v>
      </c>
      <c r="B72" s="8" t="n">
        <v>85</v>
      </c>
      <c r="C72" s="8" t="n">
        <v>177</v>
      </c>
      <c r="D72" s="8" t="n">
        <v>122</v>
      </c>
      <c r="E72" s="8">
        <f>SUM(B72:D72)</f>
        <v/>
      </c>
      <c r="F72" s="9">
        <f>E72/E63</f>
        <v/>
      </c>
    </row>
    <row r="73">
      <c r="A73" s="7" t="n">
        <v>46241</v>
      </c>
      <c r="B73" s="8" t="n">
        <v>85</v>
      </c>
      <c r="C73" s="8" t="n">
        <v>177</v>
      </c>
      <c r="D73" s="8" t="n">
        <v>123</v>
      </c>
      <c r="E73" s="8">
        <f>SUM(B73:D73)</f>
        <v/>
      </c>
      <c r="F73" s="9">
        <f>E73/E63</f>
        <v/>
      </c>
    </row>
    <row r="74">
      <c r="A74" s="7" t="n">
        <v>46248</v>
      </c>
      <c r="B74" s="8" t="n">
        <v>86</v>
      </c>
      <c r="C74" s="8" t="n">
        <v>177</v>
      </c>
      <c r="D74" s="8" t="n">
        <v>123</v>
      </c>
      <c r="E74" s="8">
        <f>SUM(B74:D74)</f>
        <v/>
      </c>
      <c r="F74" s="9">
        <f>E74/E63</f>
        <v/>
      </c>
    </row>
    <row r="75">
      <c r="A75" s="7" t="n">
        <v>46255</v>
      </c>
      <c r="B75" s="8" t="n">
        <v>87</v>
      </c>
      <c r="C75" s="8" t="n">
        <v>181</v>
      </c>
      <c r="D75" s="8" t="n">
        <v>123</v>
      </c>
      <c r="E75" s="8">
        <f>SUM(B75:D75)</f>
        <v/>
      </c>
      <c r="F75" s="9">
        <f>E75/E63</f>
        <v/>
      </c>
    </row>
    <row r="76">
      <c r="A76" s="7" t="n">
        <v>46262</v>
      </c>
      <c r="B76" s="8" t="n">
        <v>88</v>
      </c>
      <c r="C76" s="8" t="n">
        <v>182</v>
      </c>
      <c r="D76" s="8" t="n">
        <v>125</v>
      </c>
      <c r="E76" s="8">
        <f>SUM(B76:D76)</f>
        <v/>
      </c>
      <c r="F76" s="9">
        <f>E76/E63</f>
        <v/>
      </c>
    </row>
    <row r="77">
      <c r="A77" s="10" t="n">
        <v>46269</v>
      </c>
      <c r="B77" s="11" t="n">
        <v>89</v>
      </c>
      <c r="C77" s="11" t="n">
        <v>185</v>
      </c>
      <c r="D77" s="11" t="n">
        <v>126</v>
      </c>
      <c r="E77" s="11">
        <f>SUM(B77:D77)</f>
        <v/>
      </c>
      <c r="F77" s="12">
        <f>E77/E63</f>
        <v/>
      </c>
    </row>
    <row r="80">
      <c r="A80" s="3" t="inlineStr">
        <is>
          <t>HillView Senibong Cove — Block A</t>
        </is>
      </c>
    </row>
    <row r="81">
      <c r="A81" s="4" t="inlineStr">
        <is>
          <t>WEEK</t>
        </is>
      </c>
      <c r="B81" s="4" t="inlineStr">
        <is>
          <t>A1
(598 sf)</t>
        </is>
      </c>
      <c r="C81" s="4" t="inlineStr">
        <is>
          <t>A1a
(764 sf)</t>
        </is>
      </c>
      <c r="D81" s="4" t="inlineStr">
        <is>
          <t>B1
(853 sf)</t>
        </is>
      </c>
      <c r="E81" s="4" t="inlineStr">
        <is>
          <t>B1a
(1103 sf)</t>
        </is>
      </c>
      <c r="F81" s="4" t="inlineStr">
        <is>
          <t>B2
(890 sf)</t>
        </is>
      </c>
      <c r="G81" s="4" t="inlineStr">
        <is>
          <t>C1
(1007 sf)</t>
        </is>
      </c>
      <c r="H81" s="4" t="inlineStr">
        <is>
          <t>C1a
(1198 sf)</t>
        </is>
      </c>
      <c r="I81" s="4" t="inlineStr">
        <is>
          <t>C1b
(1007 sf)</t>
        </is>
      </c>
      <c r="J81" s="4" t="inlineStr">
        <is>
          <t>C1c
(1163 sf)</t>
        </is>
      </c>
      <c r="K81" s="4" t="inlineStr">
        <is>
          <t>D1
(1349 sf)</t>
        </is>
      </c>
      <c r="L81" s="4" t="inlineStr">
        <is>
          <t>D2
(1288 sf)</t>
        </is>
      </c>
      <c r="M81" s="4" t="inlineStr">
        <is>
          <t>D2a
(1288 sf)</t>
        </is>
      </c>
      <c r="N81" s="4" t="inlineStr">
        <is>
          <t>TOTAL</t>
        </is>
      </c>
      <c r="O81" s="4" t="inlineStr">
        <is>
          <t>%</t>
        </is>
      </c>
    </row>
    <row r="82">
      <c r="A82" s="5" t="inlineStr">
        <is>
          <t>TOTAL UNITS</t>
        </is>
      </c>
      <c r="B82" s="6" t="n">
        <v>111</v>
      </c>
      <c r="C82" s="6" t="n">
        <v>4</v>
      </c>
      <c r="D82" s="6" t="n">
        <v>125</v>
      </c>
      <c r="E82" s="6" t="n">
        <v>5</v>
      </c>
      <c r="F82" s="6" t="n">
        <v>40</v>
      </c>
      <c r="G82" s="6" t="n">
        <v>94</v>
      </c>
      <c r="H82" s="6" t="n">
        <v>2</v>
      </c>
      <c r="I82" s="6" t="n">
        <v>28</v>
      </c>
      <c r="J82" s="6" t="n">
        <v>1</v>
      </c>
      <c r="K82" s="6" t="n">
        <v>2</v>
      </c>
      <c r="L82" s="6" t="n">
        <v>2</v>
      </c>
      <c r="M82" s="6" t="n">
        <v>1</v>
      </c>
      <c r="N82" s="6" t="n">
        <v>415</v>
      </c>
    </row>
    <row r="83">
      <c r="A83" s="10" t="n">
        <v>46269</v>
      </c>
      <c r="B83" s="11" t="n">
        <v>20</v>
      </c>
      <c r="C83" s="11" t="n">
        <v>1</v>
      </c>
      <c r="D83" s="11" t="n">
        <v>15</v>
      </c>
      <c r="E83" s="11" t="n">
        <v>0</v>
      </c>
      <c r="F83" s="11" t="n">
        <v>4</v>
      </c>
      <c r="G83" s="11" t="n">
        <v>12</v>
      </c>
      <c r="H83" s="11" t="n">
        <v>0</v>
      </c>
      <c r="I83" s="11" t="n">
        <v>0</v>
      </c>
      <c r="J83" s="11" t="n">
        <v>0</v>
      </c>
      <c r="K83" s="11" t="n">
        <v>0</v>
      </c>
      <c r="L83" s="11" t="n">
        <v>0</v>
      </c>
      <c r="M83" s="11" t="n">
        <v>0</v>
      </c>
      <c r="N83" s="11">
        <f>SUM(B83:M83)</f>
        <v/>
      </c>
      <c r="O83" s="12">
        <f>N83/N82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/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/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/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/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/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/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/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/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/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/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/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/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/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/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2026-09-08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2026-09-08T08:21:00Z</dcterms:created>
  <dcterms:modified xsi:type="dcterms:W3CDTF">2026-09-08T08:21:01Z</dcterms:modified>
</cp:coreProperties>
</file>