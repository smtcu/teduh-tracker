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09/10/2026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7" t="n">
        <v>46290</v>
      </c>
      <c r="B23" s="8" t="n">
        <v>139</v>
      </c>
      <c r="C23" s="8" t="n">
        <v>4</v>
      </c>
      <c r="D23" s="8" t="n">
        <v>1</v>
      </c>
      <c r="E23" s="8" t="n">
        <v>81</v>
      </c>
      <c r="F23" s="8" t="n">
        <v>25</v>
      </c>
      <c r="G23" s="8" t="n">
        <v>3</v>
      </c>
      <c r="H23" s="8" t="n">
        <v>66</v>
      </c>
      <c r="I23" s="8" t="n">
        <v>2</v>
      </c>
      <c r="J23" s="8">
        <f>SUM(B23:I23)</f>
        <v/>
      </c>
      <c r="K23" s="9">
        <f>J23/J6</f>
        <v/>
      </c>
    </row>
    <row r="24">
      <c r="A24" s="7" t="n">
        <v>46297</v>
      </c>
      <c r="B24" s="8" t="n">
        <v>143</v>
      </c>
      <c r="C24" s="8" t="n">
        <v>4</v>
      </c>
      <c r="D24" s="8" t="n">
        <v>1</v>
      </c>
      <c r="E24" s="8" t="n">
        <v>84</v>
      </c>
      <c r="F24" s="8" t="n">
        <v>25</v>
      </c>
      <c r="G24" s="8" t="n">
        <v>3</v>
      </c>
      <c r="H24" s="8" t="n">
        <v>66</v>
      </c>
      <c r="I24" s="8" t="n">
        <v>2</v>
      </c>
      <c r="J24" s="8">
        <f>SUM(B24:I24)</f>
        <v/>
      </c>
      <c r="K24" s="9">
        <f>J24/J6</f>
        <v/>
      </c>
    </row>
    <row r="25">
      <c r="A25" s="10" t="n">
        <v>46304</v>
      </c>
      <c r="B25" s="11" t="n">
        <v>146</v>
      </c>
      <c r="C25" s="11" t="n">
        <v>4</v>
      </c>
      <c r="D25" s="11" t="n">
        <v>1</v>
      </c>
      <c r="E25" s="11" t="n">
        <v>85</v>
      </c>
      <c r="F25" s="11" t="n">
        <v>27</v>
      </c>
      <c r="G25" s="11" t="n">
        <v>3</v>
      </c>
      <c r="H25" s="11" t="n">
        <v>67</v>
      </c>
      <c r="I25" s="11" t="n">
        <v>2</v>
      </c>
      <c r="J25" s="11">
        <f>SUM(B25:I25)</f>
        <v/>
      </c>
      <c r="K25" s="12">
        <f>J25/J6</f>
        <v/>
      </c>
    </row>
    <row r="28">
      <c r="A28" s="3" t="inlineStr">
        <is>
          <t>Permas Heights</t>
        </is>
      </c>
    </row>
    <row r="29">
      <c r="A29" s="4" t="inlineStr">
        <is>
          <t>WEEK</t>
        </is>
      </c>
      <c r="B29" s="4" t="inlineStr">
        <is>
          <t>A
(650 sf)</t>
        </is>
      </c>
      <c r="C29" s="4" t="inlineStr">
        <is>
          <t>B
(801 sf)</t>
        </is>
      </c>
      <c r="D29" s="4" t="inlineStr">
        <is>
          <t>C
(948 sf)</t>
        </is>
      </c>
      <c r="E29" s="4" t="inlineStr">
        <is>
          <t>TOTAL</t>
        </is>
      </c>
      <c r="F29" s="4" t="inlineStr">
        <is>
          <t>%</t>
        </is>
      </c>
    </row>
    <row r="30">
      <c r="A30" s="5" t="inlineStr">
        <is>
          <t>TOTAL UNITS</t>
        </is>
      </c>
      <c r="B30" s="6" t="n">
        <v>600</v>
      </c>
      <c r="C30" s="6" t="n">
        <v>600</v>
      </c>
      <c r="D30" s="6" t="n">
        <v>750</v>
      </c>
      <c r="E30" s="6" t="n">
        <v>1950</v>
      </c>
    </row>
    <row r="31">
      <c r="A31" s="7" t="n">
        <v>46178</v>
      </c>
      <c r="B31" s="8" t="n">
        <v>289</v>
      </c>
      <c r="C31" s="8" t="n">
        <v>273</v>
      </c>
      <c r="D31" s="8" t="n">
        <v>268</v>
      </c>
      <c r="E31" s="8">
        <f>SUM(B31:D31)</f>
        <v/>
      </c>
      <c r="F31" s="9">
        <f>E31/E30</f>
        <v/>
      </c>
    </row>
    <row r="32">
      <c r="A32" s="7" t="n">
        <v>46185</v>
      </c>
      <c r="B32" s="8" t="n">
        <v>280</v>
      </c>
      <c r="C32" s="8" t="n">
        <v>302</v>
      </c>
      <c r="D32" s="8" t="n">
        <v>257</v>
      </c>
      <c r="E32" s="8">
        <f>SUM(B32:D32)</f>
        <v/>
      </c>
      <c r="F32" s="9">
        <f>E32/E30</f>
        <v/>
      </c>
    </row>
    <row r="33">
      <c r="A33" s="7" t="n">
        <v>46192</v>
      </c>
      <c r="B33" s="8" t="n">
        <v>320</v>
      </c>
      <c r="C33" s="8" t="n">
        <v>290</v>
      </c>
      <c r="D33" s="8" t="n">
        <v>285</v>
      </c>
      <c r="E33" s="8">
        <f>SUM(B33:D33)</f>
        <v/>
      </c>
      <c r="F33" s="9">
        <f>E33/E30</f>
        <v/>
      </c>
    </row>
    <row r="34">
      <c r="A34" s="7" t="n">
        <v>46199</v>
      </c>
      <c r="B34" s="8" t="n">
        <v>290</v>
      </c>
      <c r="C34" s="8" t="n">
        <v>289</v>
      </c>
      <c r="D34" s="8" t="n">
        <v>268</v>
      </c>
      <c r="E34" s="8">
        <f>SUM(B34:D34)</f>
        <v/>
      </c>
      <c r="F34" s="9">
        <f>E34/E30</f>
        <v/>
      </c>
    </row>
    <row r="35">
      <c r="A35" s="7" t="n">
        <v>46206</v>
      </c>
      <c r="B35" s="8" t="n">
        <v>309</v>
      </c>
      <c r="C35" s="8" t="n">
        <v>275</v>
      </c>
      <c r="D35" s="8" t="n">
        <v>269</v>
      </c>
      <c r="E35" s="8">
        <f>SUM(B35:D35)</f>
        <v/>
      </c>
      <c r="F35" s="9">
        <f>E35/E30</f>
        <v/>
      </c>
    </row>
    <row r="36">
      <c r="A36" s="7" t="n">
        <v>46213</v>
      </c>
      <c r="B36" s="8" t="n">
        <v>301</v>
      </c>
      <c r="C36" s="8" t="n">
        <v>317</v>
      </c>
      <c r="D36" s="8" t="n">
        <v>283</v>
      </c>
      <c r="E36" s="8">
        <f>SUM(B36:D36)</f>
        <v/>
      </c>
      <c r="F36" s="9">
        <f>E36/E30</f>
        <v/>
      </c>
    </row>
    <row r="37">
      <c r="A37" s="7" t="n">
        <v>46220</v>
      </c>
      <c r="B37" s="8" t="n">
        <v>302</v>
      </c>
      <c r="C37" s="8" t="n">
        <v>320</v>
      </c>
      <c r="D37" s="8" t="n">
        <v>283</v>
      </c>
      <c r="E37" s="8">
        <f>SUM(B37:D37)</f>
        <v/>
      </c>
      <c r="F37" s="9">
        <f>E37/E30</f>
        <v/>
      </c>
    </row>
    <row r="38">
      <c r="A38" s="7" t="n">
        <v>46227</v>
      </c>
      <c r="B38" s="8" t="n">
        <v>315</v>
      </c>
      <c r="C38" s="8" t="n">
        <v>297</v>
      </c>
      <c r="D38" s="8" t="n">
        <v>304</v>
      </c>
      <c r="E38" s="8">
        <f>SUM(B38:D38)</f>
        <v/>
      </c>
      <c r="F38" s="9">
        <f>E38/E30</f>
        <v/>
      </c>
    </row>
    <row r="39">
      <c r="A39" s="7" t="n">
        <v>46234</v>
      </c>
      <c r="B39" s="8" t="n">
        <v>306</v>
      </c>
      <c r="C39" s="8" t="n">
        <v>324</v>
      </c>
      <c r="D39" s="8" t="n">
        <v>295</v>
      </c>
      <c r="E39" s="8">
        <f>SUM(B39:D39)</f>
        <v/>
      </c>
      <c r="F39" s="9">
        <f>E39/E30</f>
        <v/>
      </c>
    </row>
    <row r="40">
      <c r="A40" s="7" t="n">
        <v>46241</v>
      </c>
      <c r="B40" s="8" t="n">
        <v>307</v>
      </c>
      <c r="C40" s="8" t="n">
        <v>329</v>
      </c>
      <c r="D40" s="8" t="n">
        <v>299</v>
      </c>
      <c r="E40" s="8">
        <f>SUM(B40:D40)</f>
        <v/>
      </c>
      <c r="F40" s="9">
        <f>E40/E30</f>
        <v/>
      </c>
    </row>
    <row r="41">
      <c r="A41" s="7" t="n">
        <v>46248</v>
      </c>
      <c r="B41" s="8" t="n">
        <v>309</v>
      </c>
      <c r="C41" s="8" t="n">
        <v>331</v>
      </c>
      <c r="D41" s="8" t="n">
        <v>302</v>
      </c>
      <c r="E41" s="8">
        <f>SUM(B41:D41)</f>
        <v/>
      </c>
      <c r="F41" s="9">
        <f>E41/E30</f>
        <v/>
      </c>
    </row>
    <row r="42">
      <c r="A42" s="7" t="n">
        <v>46255</v>
      </c>
      <c r="B42" s="8" t="n">
        <v>315</v>
      </c>
      <c r="C42" s="8" t="n">
        <v>334</v>
      </c>
      <c r="D42" s="8" t="n">
        <v>305</v>
      </c>
      <c r="E42" s="8">
        <f>SUM(B42:D42)</f>
        <v/>
      </c>
      <c r="F42" s="9">
        <f>E42/E30</f>
        <v/>
      </c>
    </row>
    <row r="43">
      <c r="A43" s="7" t="n">
        <v>46262</v>
      </c>
      <c r="B43" s="8" t="n">
        <v>324</v>
      </c>
      <c r="C43" s="8" t="n">
        <v>339</v>
      </c>
      <c r="D43" s="8" t="n">
        <v>309</v>
      </c>
      <c r="E43" s="8">
        <f>SUM(B43:D43)</f>
        <v/>
      </c>
      <c r="F43" s="9">
        <f>E43/E30</f>
        <v/>
      </c>
    </row>
    <row r="44">
      <c r="A44" s="7" t="n">
        <v>46269</v>
      </c>
      <c r="B44" s="8" t="n">
        <v>325</v>
      </c>
      <c r="C44" s="8" t="n">
        <v>341</v>
      </c>
      <c r="D44" s="8" t="n">
        <v>309</v>
      </c>
      <c r="E44" s="8">
        <f>SUM(B44:D44)</f>
        <v/>
      </c>
      <c r="F44" s="9">
        <f>E44/E30</f>
        <v/>
      </c>
    </row>
    <row r="45">
      <c r="A45" s="7" t="n">
        <v>46276</v>
      </c>
      <c r="B45" s="8" t="n">
        <v>326</v>
      </c>
      <c r="C45" s="8" t="n">
        <v>344</v>
      </c>
      <c r="D45" s="8" t="n">
        <v>312</v>
      </c>
      <c r="E45" s="8">
        <f>SUM(B45:D45)</f>
        <v/>
      </c>
      <c r="F45" s="9">
        <f>E45/E30</f>
        <v/>
      </c>
    </row>
    <row r="46">
      <c r="A46" s="7" t="n">
        <v>46283</v>
      </c>
      <c r="B46" s="8" t="n">
        <v>331</v>
      </c>
      <c r="C46" s="8" t="n">
        <v>346</v>
      </c>
      <c r="D46" s="8" t="n">
        <v>316</v>
      </c>
      <c r="E46" s="8">
        <f>SUM(B46:D46)</f>
        <v/>
      </c>
      <c r="F46" s="9">
        <f>E46/E30</f>
        <v/>
      </c>
    </row>
    <row r="47">
      <c r="A47" s="7" t="n">
        <v>46290</v>
      </c>
      <c r="B47" s="8" t="n">
        <v>335</v>
      </c>
      <c r="C47" s="8" t="n">
        <v>353</v>
      </c>
      <c r="D47" s="8" t="n">
        <v>319</v>
      </c>
      <c r="E47" s="8">
        <f>SUM(B47:D47)</f>
        <v/>
      </c>
      <c r="F47" s="9">
        <f>E47/E30</f>
        <v/>
      </c>
    </row>
    <row r="48">
      <c r="A48" s="7" t="n">
        <v>46297</v>
      </c>
      <c r="B48" s="8" t="n">
        <v>339</v>
      </c>
      <c r="C48" s="8" t="n">
        <v>356</v>
      </c>
      <c r="D48" s="8" t="n">
        <v>322</v>
      </c>
      <c r="E48" s="8">
        <f>SUM(B48:D48)</f>
        <v/>
      </c>
      <c r="F48" s="9">
        <f>E48/E30</f>
        <v/>
      </c>
    </row>
    <row r="49">
      <c r="A49" s="10" t="n">
        <v>46304</v>
      </c>
      <c r="B49" s="11" t="n">
        <v>341</v>
      </c>
      <c r="C49" s="11" t="n">
        <v>358</v>
      </c>
      <c r="D49" s="11" t="n">
        <v>326</v>
      </c>
      <c r="E49" s="11">
        <f>SUM(B49:D49)</f>
        <v/>
      </c>
      <c r="F49" s="12">
        <f>E49/E30</f>
        <v/>
      </c>
    </row>
    <row r="52">
      <c r="A52" s="3" t="inlineStr">
        <is>
          <t>Parkland by the River — Phase 1</t>
        </is>
      </c>
    </row>
    <row r="53">
      <c r="A53" s="4" t="inlineStr">
        <is>
          <t>WEEK</t>
        </is>
      </c>
      <c r="B53" s="4" t="inlineStr">
        <is>
          <t>A
(562 sf)</t>
        </is>
      </c>
      <c r="C53" s="4" t="inlineStr">
        <is>
          <t>B
(820 sf)</t>
        </is>
      </c>
      <c r="D53" s="4" t="inlineStr">
        <is>
          <t>C
(1020 sf)</t>
        </is>
      </c>
      <c r="E53" s="4" t="inlineStr">
        <is>
          <t>TOTAL</t>
        </is>
      </c>
      <c r="F53" s="4" t="inlineStr">
        <is>
          <t>%</t>
        </is>
      </c>
    </row>
    <row r="54">
      <c r="A54" s="5" t="inlineStr">
        <is>
          <t>TOTAL UNITS</t>
        </is>
      </c>
      <c r="B54" s="6" t="n">
        <v>180</v>
      </c>
      <c r="C54" s="6" t="n">
        <v>420</v>
      </c>
      <c r="D54" s="6" t="n">
        <v>478</v>
      </c>
      <c r="E54" s="6" t="n">
        <v>1078</v>
      </c>
    </row>
    <row r="55">
      <c r="A55" s="7" t="n">
        <v>46178</v>
      </c>
      <c r="B55" s="8" t="n">
        <v>129</v>
      </c>
      <c r="C55" s="8" t="n">
        <v>265</v>
      </c>
      <c r="D55" s="8" t="n">
        <v>271</v>
      </c>
      <c r="E55" s="8">
        <f>SUM(B55:D55)</f>
        <v/>
      </c>
      <c r="F55" s="9">
        <f>E55/E54</f>
        <v/>
      </c>
    </row>
    <row r="56">
      <c r="A56" s="7" t="n">
        <v>46185</v>
      </c>
      <c r="B56" s="8" t="n">
        <v>129</v>
      </c>
      <c r="C56" s="8" t="n">
        <v>264</v>
      </c>
      <c r="D56" s="8" t="n">
        <v>271</v>
      </c>
      <c r="E56" s="8">
        <f>SUM(B56:D56)</f>
        <v/>
      </c>
      <c r="F56" s="9">
        <f>E56/E54</f>
        <v/>
      </c>
    </row>
    <row r="57">
      <c r="A57" s="7" t="n">
        <v>46192</v>
      </c>
      <c r="B57" s="8" t="n">
        <v>129</v>
      </c>
      <c r="C57" s="8" t="n">
        <v>264</v>
      </c>
      <c r="D57" s="8" t="n">
        <v>271</v>
      </c>
      <c r="E57" s="8">
        <f>SUM(B57:D57)</f>
        <v/>
      </c>
      <c r="F57" s="9">
        <f>E57/E54</f>
        <v/>
      </c>
    </row>
    <row r="58">
      <c r="A58" s="7" t="n">
        <v>46199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E58/E54</f>
        <v/>
      </c>
    </row>
    <row r="59">
      <c r="A59" s="7" t="n">
        <v>46206</v>
      </c>
      <c r="B59" s="8" t="n">
        <v>129</v>
      </c>
      <c r="C59" s="8" t="n">
        <v>250</v>
      </c>
      <c r="D59" s="8" t="n">
        <v>287</v>
      </c>
      <c r="E59" s="8">
        <f>SUM(B59:D59)</f>
        <v/>
      </c>
      <c r="F59" s="9">
        <f>E59/E54</f>
        <v/>
      </c>
    </row>
    <row r="60">
      <c r="A60" s="7" t="n">
        <v>46213</v>
      </c>
      <c r="B60" s="8" t="n">
        <v>129</v>
      </c>
      <c r="C60" s="8" t="n">
        <v>265</v>
      </c>
      <c r="D60" s="8" t="n">
        <v>272</v>
      </c>
      <c r="E60" s="8">
        <f>SUM(B60:D60)</f>
        <v/>
      </c>
      <c r="F60" s="9">
        <f>E60/E54</f>
        <v/>
      </c>
    </row>
    <row r="61">
      <c r="A61" s="7" t="n">
        <v>46220</v>
      </c>
      <c r="B61" s="8" t="n">
        <v>89</v>
      </c>
      <c r="C61" s="8" t="n">
        <v>242</v>
      </c>
      <c r="D61" s="8" t="n">
        <v>335</v>
      </c>
      <c r="E61" s="8">
        <f>SUM(B61:D61)</f>
        <v/>
      </c>
      <c r="F61" s="9">
        <f>E61/E54</f>
        <v/>
      </c>
    </row>
    <row r="62">
      <c r="A62" s="7" t="n">
        <v>46227</v>
      </c>
      <c r="B62" s="8" t="n">
        <v>105</v>
      </c>
      <c r="C62" s="8" t="n">
        <v>267</v>
      </c>
      <c r="D62" s="8" t="n">
        <v>294</v>
      </c>
      <c r="E62" s="8">
        <f>SUM(B62:D62)</f>
        <v/>
      </c>
      <c r="F62" s="9">
        <f>E62/E54</f>
        <v/>
      </c>
    </row>
    <row r="63">
      <c r="A63" s="7" t="n">
        <v>46234</v>
      </c>
      <c r="B63" s="8" t="n">
        <v>129</v>
      </c>
      <c r="C63" s="8" t="n">
        <v>265</v>
      </c>
      <c r="D63" s="8" t="n">
        <v>272</v>
      </c>
      <c r="E63" s="8">
        <f>SUM(B63:D63)</f>
        <v/>
      </c>
      <c r="F63" s="9">
        <f>E63/E54</f>
        <v/>
      </c>
    </row>
    <row r="64">
      <c r="A64" s="7" t="n">
        <v>46241</v>
      </c>
      <c r="B64" s="8" t="n">
        <v>129</v>
      </c>
      <c r="C64" s="8" t="n">
        <v>265</v>
      </c>
      <c r="D64" s="8" t="n">
        <v>272</v>
      </c>
      <c r="E64" s="8">
        <f>SUM(B64:D64)</f>
        <v/>
      </c>
      <c r="F64" s="9">
        <f>E64/E54</f>
        <v/>
      </c>
    </row>
    <row r="65">
      <c r="A65" s="7" t="n">
        <v>46248</v>
      </c>
      <c r="B65" s="8" t="n">
        <v>129</v>
      </c>
      <c r="C65" s="8" t="n">
        <v>265</v>
      </c>
      <c r="D65" s="8" t="n">
        <v>272</v>
      </c>
      <c r="E65" s="8">
        <f>SUM(B65:D65)</f>
        <v/>
      </c>
      <c r="F65" s="9">
        <f>E65/E54</f>
        <v/>
      </c>
    </row>
    <row r="66">
      <c r="A66" s="7" t="n">
        <v>46255</v>
      </c>
      <c r="B66" s="8" t="n">
        <v>130</v>
      </c>
      <c r="C66" s="8" t="n">
        <v>265</v>
      </c>
      <c r="D66" s="8" t="n">
        <v>272</v>
      </c>
      <c r="E66" s="8">
        <f>SUM(B66:D66)</f>
        <v/>
      </c>
      <c r="F66" s="9">
        <f>E66/E54</f>
        <v/>
      </c>
    </row>
    <row r="67">
      <c r="A67" s="7" t="n">
        <v>46262</v>
      </c>
      <c r="B67" s="8" t="n">
        <v>130</v>
      </c>
      <c r="C67" s="8" t="n">
        <v>265</v>
      </c>
      <c r="D67" s="8" t="n">
        <v>272</v>
      </c>
      <c r="E67" s="8">
        <f>SUM(B67:D67)</f>
        <v/>
      </c>
      <c r="F67" s="9">
        <f>E67/E54</f>
        <v/>
      </c>
    </row>
    <row r="68">
      <c r="A68" s="7" t="n">
        <v>46269</v>
      </c>
      <c r="B68" s="8" t="n">
        <v>130</v>
      </c>
      <c r="C68" s="8" t="n">
        <v>266</v>
      </c>
      <c r="D68" s="8" t="n">
        <v>272</v>
      </c>
      <c r="E68" s="8">
        <f>SUM(B68:D68)</f>
        <v/>
      </c>
      <c r="F68" s="9">
        <f>E68/E54</f>
        <v/>
      </c>
    </row>
    <row r="69">
      <c r="A69" s="7" t="n">
        <v>46276</v>
      </c>
      <c r="B69" s="8" t="n">
        <v>130</v>
      </c>
      <c r="C69" s="8" t="n">
        <v>266</v>
      </c>
      <c r="D69" s="8" t="n">
        <v>274</v>
      </c>
      <c r="E69" s="8">
        <f>SUM(B69:D69)</f>
        <v/>
      </c>
      <c r="F69" s="9">
        <f>E69/E54</f>
        <v/>
      </c>
    </row>
    <row r="70">
      <c r="A70" s="7" t="n">
        <v>46283</v>
      </c>
      <c r="B70" s="8" t="n">
        <v>130</v>
      </c>
      <c r="C70" s="8" t="n">
        <v>266</v>
      </c>
      <c r="D70" s="8" t="n">
        <v>274</v>
      </c>
      <c r="E70" s="8">
        <f>SUM(B70:D70)</f>
        <v/>
      </c>
      <c r="F70" s="9">
        <f>E70/E54</f>
        <v/>
      </c>
    </row>
    <row r="71">
      <c r="A71" s="7" t="n">
        <v>46290</v>
      </c>
      <c r="B71" s="8" t="n">
        <v>130</v>
      </c>
      <c r="C71" s="8" t="n">
        <v>266</v>
      </c>
      <c r="D71" s="8" t="n">
        <v>275</v>
      </c>
      <c r="E71" s="8">
        <f>SUM(B71:D71)</f>
        <v/>
      </c>
      <c r="F71" s="9">
        <f>E71/E54</f>
        <v/>
      </c>
    </row>
    <row r="72">
      <c r="A72" s="7" t="n">
        <v>46297</v>
      </c>
      <c r="B72" s="8" t="n">
        <v>130</v>
      </c>
      <c r="C72" s="8" t="n">
        <v>266</v>
      </c>
      <c r="D72" s="8" t="n">
        <v>275</v>
      </c>
      <c r="E72" s="8">
        <f>SUM(B72:D72)</f>
        <v/>
      </c>
      <c r="F72" s="9">
        <f>E72/E54</f>
        <v/>
      </c>
    </row>
    <row r="73">
      <c r="A73" s="10" t="n">
        <v>46304</v>
      </c>
      <c r="B73" s="11" t="n">
        <v>130</v>
      </c>
      <c r="C73" s="11" t="n">
        <v>266</v>
      </c>
      <c r="D73" s="11" t="n">
        <v>275</v>
      </c>
      <c r="E73" s="11">
        <f>SUM(B73:D73)</f>
        <v/>
      </c>
      <c r="F73" s="12">
        <f>E73/E54</f>
        <v/>
      </c>
    </row>
    <row r="76">
      <c r="A76" s="3" t="inlineStr">
        <is>
          <t>Parkland by the River — Phase 2</t>
        </is>
      </c>
    </row>
    <row r="77">
      <c r="A77" s="4" t="inlineStr">
        <is>
          <t>WEEK</t>
        </is>
      </c>
      <c r="B77" s="4" t="inlineStr">
        <is>
          <t>A
(562 sf)</t>
        </is>
      </c>
      <c r="C77" s="4" t="inlineStr">
        <is>
          <t>B
(820 sf)</t>
        </is>
      </c>
      <c r="D77" s="4" t="inlineStr">
        <is>
          <t>C
(1020 sf)</t>
        </is>
      </c>
      <c r="E77" s="4" t="inlineStr">
        <is>
          <t>TOTAL</t>
        </is>
      </c>
      <c r="F77" s="4" t="inlineStr">
        <is>
          <t>%</t>
        </is>
      </c>
    </row>
    <row r="78">
      <c r="A78" s="5" t="inlineStr">
        <is>
          <t>TOTAL UNITS</t>
        </is>
      </c>
      <c r="B78" s="6" t="n">
        <v>180</v>
      </c>
      <c r="C78" s="6" t="n">
        <v>420</v>
      </c>
      <c r="D78" s="6" t="n">
        <v>478</v>
      </c>
      <c r="E78" s="6" t="n">
        <v>1078</v>
      </c>
    </row>
    <row r="79">
      <c r="A79" s="7" t="n">
        <v>46178</v>
      </c>
      <c r="B79" s="8" t="n">
        <v>75</v>
      </c>
      <c r="C79" s="8" t="n">
        <v>172</v>
      </c>
      <c r="D79" s="8" t="n">
        <v>91</v>
      </c>
      <c r="E79" s="8">
        <f>SUM(B79:D79)</f>
        <v/>
      </c>
      <c r="F79" s="9">
        <f>E79/E78</f>
        <v/>
      </c>
    </row>
    <row r="80">
      <c r="A80" s="7" t="n">
        <v>46185</v>
      </c>
      <c r="B80" s="8" t="n">
        <v>82</v>
      </c>
      <c r="C80" s="8" t="n">
        <v>156</v>
      </c>
      <c r="D80" s="8" t="n">
        <v>100</v>
      </c>
      <c r="E80" s="8">
        <f>SUM(B80:D80)</f>
        <v/>
      </c>
      <c r="F80" s="9">
        <f>E80/E78</f>
        <v/>
      </c>
    </row>
    <row r="81">
      <c r="A81" s="7" t="n">
        <v>46192</v>
      </c>
      <c r="B81" s="8" t="n">
        <v>87</v>
      </c>
      <c r="C81" s="8" t="n">
        <v>156</v>
      </c>
      <c r="D81" s="8" t="n">
        <v>100</v>
      </c>
      <c r="E81" s="8">
        <f>SUM(B81:D81)</f>
        <v/>
      </c>
      <c r="F81" s="9">
        <f>E81/E78</f>
        <v/>
      </c>
    </row>
    <row r="82">
      <c r="A82" s="7" t="n">
        <v>46199</v>
      </c>
      <c r="B82" s="8" t="n">
        <v>78</v>
      </c>
      <c r="C82" s="8" t="n">
        <v>156</v>
      </c>
      <c r="D82" s="8" t="n">
        <v>115</v>
      </c>
      <c r="E82" s="8">
        <f>SUM(B82:D82)</f>
        <v/>
      </c>
      <c r="F82" s="9">
        <f>E82/E78</f>
        <v/>
      </c>
    </row>
    <row r="83">
      <c r="A83" s="7" t="n">
        <v>46206</v>
      </c>
      <c r="B83" s="8" t="n">
        <v>78</v>
      </c>
      <c r="C83" s="8" t="n">
        <v>162</v>
      </c>
      <c r="D83" s="8" t="n">
        <v>112</v>
      </c>
      <c r="E83" s="8">
        <f>SUM(B83:D83)</f>
        <v/>
      </c>
      <c r="F83" s="9">
        <f>E83/E78</f>
        <v/>
      </c>
    </row>
    <row r="84">
      <c r="A84" s="7" t="n">
        <v>46213</v>
      </c>
      <c r="B84" s="8" t="n">
        <v>80</v>
      </c>
      <c r="C84" s="8" t="n">
        <v>171</v>
      </c>
      <c r="D84" s="8" t="n">
        <v>116</v>
      </c>
      <c r="E84" s="8">
        <f>SUM(B84:D84)</f>
        <v/>
      </c>
      <c r="F84" s="9">
        <f>E84/E78</f>
        <v/>
      </c>
    </row>
    <row r="85">
      <c r="A85" s="7" t="n">
        <v>46220</v>
      </c>
      <c r="B85" s="8" t="n">
        <v>78</v>
      </c>
      <c r="C85" s="8" t="n">
        <v>173</v>
      </c>
      <c r="D85" s="8" t="n">
        <v>120</v>
      </c>
      <c r="E85" s="8">
        <f>SUM(B85:D85)</f>
        <v/>
      </c>
      <c r="F85" s="9">
        <f>E85/E78</f>
        <v/>
      </c>
    </row>
    <row r="86">
      <c r="A86" s="7" t="n">
        <v>46227</v>
      </c>
      <c r="B86" s="8" t="n">
        <v>80</v>
      </c>
      <c r="C86" s="8" t="n">
        <v>175</v>
      </c>
      <c r="D86" s="8" t="n">
        <v>124</v>
      </c>
      <c r="E86" s="8">
        <f>SUM(B86:D86)</f>
        <v/>
      </c>
      <c r="F86" s="9">
        <f>E86/E78</f>
        <v/>
      </c>
    </row>
    <row r="87">
      <c r="A87" s="7" t="n">
        <v>46234</v>
      </c>
      <c r="B87" s="8" t="n">
        <v>85</v>
      </c>
      <c r="C87" s="8" t="n">
        <v>177</v>
      </c>
      <c r="D87" s="8" t="n">
        <v>122</v>
      </c>
      <c r="E87" s="8">
        <f>SUM(B87:D87)</f>
        <v/>
      </c>
      <c r="F87" s="9">
        <f>E87/E78</f>
        <v/>
      </c>
    </row>
    <row r="88">
      <c r="A88" s="7" t="n">
        <v>46241</v>
      </c>
      <c r="B88" s="8" t="n">
        <v>85</v>
      </c>
      <c r="C88" s="8" t="n">
        <v>177</v>
      </c>
      <c r="D88" s="8" t="n">
        <v>123</v>
      </c>
      <c r="E88" s="8">
        <f>SUM(B88:D88)</f>
        <v/>
      </c>
      <c r="F88" s="9">
        <f>E88/E78</f>
        <v/>
      </c>
    </row>
    <row r="89">
      <c r="A89" s="7" t="n">
        <v>46248</v>
      </c>
      <c r="B89" s="8" t="n">
        <v>86</v>
      </c>
      <c r="C89" s="8" t="n">
        <v>177</v>
      </c>
      <c r="D89" s="8" t="n">
        <v>123</v>
      </c>
      <c r="E89" s="8">
        <f>SUM(B89:D89)</f>
        <v/>
      </c>
      <c r="F89" s="9">
        <f>E89/E78</f>
        <v/>
      </c>
    </row>
    <row r="90">
      <c r="A90" s="7" t="n">
        <v>46255</v>
      </c>
      <c r="B90" s="8" t="n">
        <v>87</v>
      </c>
      <c r="C90" s="8" t="n">
        <v>181</v>
      </c>
      <c r="D90" s="8" t="n">
        <v>123</v>
      </c>
      <c r="E90" s="8">
        <f>SUM(B90:D90)</f>
        <v/>
      </c>
      <c r="F90" s="9">
        <f>E90/E78</f>
        <v/>
      </c>
    </row>
    <row r="91">
      <c r="A91" s="7" t="n">
        <v>46262</v>
      </c>
      <c r="B91" s="8" t="n">
        <v>88</v>
      </c>
      <c r="C91" s="8" t="n">
        <v>182</v>
      </c>
      <c r="D91" s="8" t="n">
        <v>125</v>
      </c>
      <c r="E91" s="8">
        <f>SUM(B91:D91)</f>
        <v/>
      </c>
      <c r="F91" s="9">
        <f>E91/E78</f>
        <v/>
      </c>
    </row>
    <row r="92">
      <c r="A92" s="7" t="n">
        <v>46269</v>
      </c>
      <c r="B92" s="8" t="n">
        <v>89</v>
      </c>
      <c r="C92" s="8" t="n">
        <v>185</v>
      </c>
      <c r="D92" s="8" t="n">
        <v>126</v>
      </c>
      <c r="E92" s="8">
        <f>SUM(B92:D92)</f>
        <v/>
      </c>
      <c r="F92" s="9">
        <f>E92/E78</f>
        <v/>
      </c>
    </row>
    <row r="93">
      <c r="A93" s="7" t="n">
        <v>46276</v>
      </c>
      <c r="B93" s="8" t="n">
        <v>89</v>
      </c>
      <c r="C93" s="8" t="n">
        <v>186</v>
      </c>
      <c r="D93" s="8" t="n">
        <v>127</v>
      </c>
      <c r="E93" s="8">
        <f>SUM(B93:D93)</f>
        <v/>
      </c>
      <c r="F93" s="9">
        <f>E93/E78</f>
        <v/>
      </c>
    </row>
    <row r="94">
      <c r="A94" s="7" t="n">
        <v>46283</v>
      </c>
      <c r="B94" s="8" t="n">
        <v>89</v>
      </c>
      <c r="C94" s="8" t="n">
        <v>188</v>
      </c>
      <c r="D94" s="8" t="n">
        <v>129</v>
      </c>
      <c r="E94" s="8">
        <f>SUM(B94:D94)</f>
        <v/>
      </c>
      <c r="F94" s="9">
        <f>E94/E78</f>
        <v/>
      </c>
    </row>
    <row r="95">
      <c r="A95" s="7" t="n">
        <v>46290</v>
      </c>
      <c r="B95" s="8" t="n">
        <v>90</v>
      </c>
      <c r="C95" s="8" t="n">
        <v>193</v>
      </c>
      <c r="D95" s="8" t="n">
        <v>132</v>
      </c>
      <c r="E95" s="8">
        <f>SUM(B95:D95)</f>
        <v/>
      </c>
      <c r="F95" s="9">
        <f>E95/E78</f>
        <v/>
      </c>
    </row>
    <row r="96">
      <c r="A96" s="7" t="n">
        <v>46297</v>
      </c>
      <c r="B96" s="8" t="n">
        <v>90</v>
      </c>
      <c r="C96" s="8" t="n">
        <v>196</v>
      </c>
      <c r="D96" s="8" t="n">
        <v>134</v>
      </c>
      <c r="E96" s="8">
        <f>SUM(B96:D96)</f>
        <v/>
      </c>
      <c r="F96" s="9">
        <f>E96/E78</f>
        <v/>
      </c>
    </row>
    <row r="97">
      <c r="A97" s="10" t="n">
        <v>46304</v>
      </c>
      <c r="B97" s="11" t="n">
        <v>91</v>
      </c>
      <c r="C97" s="11" t="n">
        <v>198</v>
      </c>
      <c r="D97" s="11" t="n">
        <v>136</v>
      </c>
      <c r="E97" s="11">
        <f>SUM(B97:D97)</f>
        <v/>
      </c>
      <c r="F97" s="12">
        <f>E97/E78</f>
        <v/>
      </c>
    </row>
    <row r="100">
      <c r="A100" s="3" t="inlineStr">
        <is>
          <t>HillView Senibong Cove — Block A</t>
        </is>
      </c>
    </row>
    <row r="101">
      <c r="A101" s="4" t="inlineStr">
        <is>
          <t>WEEK</t>
        </is>
      </c>
      <c r="B101" s="4" t="inlineStr">
        <is>
          <t>A1
(598 sf)</t>
        </is>
      </c>
      <c r="C101" s="4" t="inlineStr">
        <is>
          <t>A1a
(764 sf)</t>
        </is>
      </c>
      <c r="D101" s="4" t="inlineStr">
        <is>
          <t>B1
(853 sf)</t>
        </is>
      </c>
      <c r="E101" s="4" t="inlineStr">
        <is>
          <t>B1a
(1103 sf)</t>
        </is>
      </c>
      <c r="F101" s="4" t="inlineStr">
        <is>
          <t>B2
(890 sf)</t>
        </is>
      </c>
      <c r="G101" s="4" t="inlineStr">
        <is>
          <t>C1
(1007 sf)</t>
        </is>
      </c>
      <c r="H101" s="4" t="inlineStr">
        <is>
          <t>C1a
(1198 sf)</t>
        </is>
      </c>
      <c r="I101" s="4" t="inlineStr">
        <is>
          <t>C1b
(1007 sf)</t>
        </is>
      </c>
      <c r="J101" s="4" t="inlineStr">
        <is>
          <t>C1c
(1163 sf)</t>
        </is>
      </c>
      <c r="K101" s="4" t="inlineStr">
        <is>
          <t>D1
(1349 sf)</t>
        </is>
      </c>
      <c r="L101" s="4" t="inlineStr">
        <is>
          <t>D2
(1288 sf)</t>
        </is>
      </c>
      <c r="M101" s="4" t="inlineStr">
        <is>
          <t>D2a
(1288 sf)</t>
        </is>
      </c>
      <c r="N101" s="4" t="inlineStr">
        <is>
          <t>TOTAL</t>
        </is>
      </c>
      <c r="O101" s="4" t="inlineStr">
        <is>
          <t>%</t>
        </is>
      </c>
    </row>
    <row r="102">
      <c r="A102" s="5" t="inlineStr">
        <is>
          <t>TOTAL UNITS</t>
        </is>
      </c>
      <c r="B102" s="6" t="n">
        <v>111</v>
      </c>
      <c r="C102" s="6" t="n">
        <v>4</v>
      </c>
      <c r="D102" s="6" t="n">
        <v>125</v>
      </c>
      <c r="E102" s="6" t="n">
        <v>5</v>
      </c>
      <c r="F102" s="6" t="n">
        <v>40</v>
      </c>
      <c r="G102" s="6" t="n">
        <v>94</v>
      </c>
      <c r="H102" s="6" t="n">
        <v>2</v>
      </c>
      <c r="I102" s="6" t="n">
        <v>28</v>
      </c>
      <c r="J102" s="6" t="n">
        <v>1</v>
      </c>
      <c r="K102" s="6" t="n">
        <v>2</v>
      </c>
      <c r="L102" s="6" t="n">
        <v>2</v>
      </c>
      <c r="M102" s="6" t="n">
        <v>1</v>
      </c>
      <c r="N102" s="6" t="n">
        <v>415</v>
      </c>
    </row>
    <row r="103">
      <c r="A103" s="7" t="n">
        <v>46269</v>
      </c>
      <c r="B103" s="8" t="n">
        <v>20</v>
      </c>
      <c r="C103" s="8" t="n">
        <v>1</v>
      </c>
      <c r="D103" s="8" t="n">
        <v>15</v>
      </c>
      <c r="E103" s="8" t="n">
        <v>0</v>
      </c>
      <c r="F103" s="8" t="n">
        <v>4</v>
      </c>
      <c r="G103" s="8" t="n">
        <v>12</v>
      </c>
      <c r="H103" s="8" t="n">
        <v>0</v>
      </c>
      <c r="I103" s="8" t="n">
        <v>0</v>
      </c>
      <c r="J103" s="8" t="n">
        <v>0</v>
      </c>
      <c r="K103" s="8" t="n">
        <v>0</v>
      </c>
      <c r="L103" s="8" t="n">
        <v>0</v>
      </c>
      <c r="M103" s="8" t="n">
        <v>0</v>
      </c>
      <c r="N103" s="8">
        <f>SUM(B103:M103)</f>
        <v/>
      </c>
      <c r="O103" s="9">
        <f>N103/N102</f>
        <v/>
      </c>
    </row>
    <row r="104">
      <c r="A104" s="7" t="n">
        <v>46276</v>
      </c>
      <c r="B104" s="8" t="n">
        <v>20</v>
      </c>
      <c r="C104" s="8" t="n">
        <v>1</v>
      </c>
      <c r="D104" s="8" t="n">
        <v>15</v>
      </c>
      <c r="E104" s="8" t="n">
        <v>0</v>
      </c>
      <c r="F104" s="8" t="n">
        <v>5</v>
      </c>
      <c r="G104" s="8" t="n">
        <v>12</v>
      </c>
      <c r="H104" s="8" t="n">
        <v>0</v>
      </c>
      <c r="I104" s="8" t="n">
        <v>0</v>
      </c>
      <c r="J104" s="8" t="n">
        <v>0</v>
      </c>
      <c r="K104" s="8" t="n">
        <v>0</v>
      </c>
      <c r="L104" s="8" t="n">
        <v>0</v>
      </c>
      <c r="M104" s="8" t="n">
        <v>0</v>
      </c>
      <c r="N104" s="8">
        <f>SUM(B104:M104)</f>
        <v/>
      </c>
      <c r="O104" s="9">
        <f>N104/N102</f>
        <v/>
      </c>
    </row>
    <row r="105">
      <c r="A105" s="7" t="n">
        <v>46283</v>
      </c>
      <c r="B105" s="8" t="n">
        <v>20</v>
      </c>
      <c r="C105" s="8" t="n">
        <v>1</v>
      </c>
      <c r="D105" s="8" t="n">
        <v>15</v>
      </c>
      <c r="E105" s="8" t="n">
        <v>0</v>
      </c>
      <c r="F105" s="8" t="n">
        <v>5</v>
      </c>
      <c r="G105" s="8" t="n">
        <v>12</v>
      </c>
      <c r="H105" s="8" t="n">
        <v>0</v>
      </c>
      <c r="I105" s="8" t="n">
        <v>0</v>
      </c>
      <c r="J105" s="8" t="n">
        <v>0</v>
      </c>
      <c r="K105" s="8" t="n">
        <v>0</v>
      </c>
      <c r="L105" s="8" t="n">
        <v>0</v>
      </c>
      <c r="M105" s="8" t="n">
        <v>0</v>
      </c>
      <c r="N105" s="8">
        <f>SUM(B105:M105)</f>
        <v/>
      </c>
      <c r="O105" s="9">
        <f>N105/N102</f>
        <v/>
      </c>
    </row>
    <row r="106">
      <c r="A106" s="7" t="n">
        <v>46290</v>
      </c>
      <c r="B106" s="8" t="n">
        <v>20</v>
      </c>
      <c r="C106" s="8" t="n">
        <v>1</v>
      </c>
      <c r="D106" s="8" t="n">
        <v>15</v>
      </c>
      <c r="E106" s="8" t="n">
        <v>0</v>
      </c>
      <c r="F106" s="8" t="n">
        <v>5</v>
      </c>
      <c r="G106" s="8" t="n">
        <v>13</v>
      </c>
      <c r="H106" s="8" t="n">
        <v>0</v>
      </c>
      <c r="I106" s="8" t="n">
        <v>0</v>
      </c>
      <c r="J106" s="8" t="n">
        <v>0</v>
      </c>
      <c r="K106" s="8" t="n">
        <v>0</v>
      </c>
      <c r="L106" s="8" t="n">
        <v>0</v>
      </c>
      <c r="M106" s="8" t="n">
        <v>0</v>
      </c>
      <c r="N106" s="8">
        <f>SUM(B106:M106)</f>
        <v/>
      </c>
      <c r="O106" s="9">
        <f>N106/N102</f>
        <v/>
      </c>
    </row>
    <row r="107">
      <c r="A107" s="7" t="n">
        <v>46297</v>
      </c>
      <c r="B107" s="8" t="n">
        <v>20</v>
      </c>
      <c r="C107" s="8" t="n">
        <v>1</v>
      </c>
      <c r="D107" s="8" t="n">
        <v>15</v>
      </c>
      <c r="E107" s="8" t="n">
        <v>0</v>
      </c>
      <c r="F107" s="8" t="n">
        <v>5</v>
      </c>
      <c r="G107" s="8" t="n">
        <v>14</v>
      </c>
      <c r="H107" s="8" t="n">
        <v>0</v>
      </c>
      <c r="I107" s="8" t="n">
        <v>0</v>
      </c>
      <c r="J107" s="8" t="n">
        <v>0</v>
      </c>
      <c r="K107" s="8" t="n">
        <v>0</v>
      </c>
      <c r="L107" s="8" t="n">
        <v>0</v>
      </c>
      <c r="M107" s="8" t="n">
        <v>0</v>
      </c>
      <c r="N107" s="8">
        <f>SUM(B107:M107)</f>
        <v/>
      </c>
      <c r="O107" s="9">
        <f>N107/N102</f>
        <v/>
      </c>
    </row>
    <row r="108">
      <c r="A108" s="10" t="n">
        <v>46304</v>
      </c>
      <c r="B108" s="11" t="n">
        <v>20</v>
      </c>
      <c r="C108" s="11" t="n">
        <v>1</v>
      </c>
      <c r="D108" s="11" t="n">
        <v>15</v>
      </c>
      <c r="E108" s="11" t="n">
        <v>0</v>
      </c>
      <c r="F108" s="11" t="n">
        <v>5</v>
      </c>
      <c r="G108" s="11" t="n">
        <v>14</v>
      </c>
      <c r="H108" s="11" t="n">
        <v>0</v>
      </c>
      <c r="I108" s="11" t="n">
        <v>0</v>
      </c>
      <c r="J108" s="11" t="n">
        <v>0</v>
      </c>
      <c r="K108" s="11" t="n">
        <v>0</v>
      </c>
      <c r="L108" s="11" t="n">
        <v>0</v>
      </c>
      <c r="M108" s="11" t="n">
        <v>0</v>
      </c>
      <c r="N108" s="11">
        <f>SUM(B108:M108)</f>
        <v/>
      </c>
      <c r="O108" s="12">
        <f>N108/N102</f>
        <v/>
      </c>
    </row>
    <row r="111">
      <c r="A111" s="3" t="inlineStr">
        <is>
          <t>Ceros Residences</t>
        </is>
      </c>
    </row>
    <row r="112">
      <c r="A112" s="4" t="inlineStr">
        <is>
          <t>WEEK</t>
        </is>
      </c>
      <c r="B112" s="4" t="inlineStr">
        <is>
          <t>A
(506 sf)</t>
        </is>
      </c>
      <c r="C112" s="4" t="inlineStr">
        <is>
          <t>B1
(646 sf)</t>
        </is>
      </c>
      <c r="D112" s="4" t="inlineStr">
        <is>
          <t>B2
(764 sf)</t>
        </is>
      </c>
      <c r="E112" s="4" t="inlineStr">
        <is>
          <t>B3
(646 sf)</t>
        </is>
      </c>
      <c r="F112" s="4" t="inlineStr">
        <is>
          <t>B4
(764 sf)</t>
        </is>
      </c>
      <c r="G112" s="4" t="inlineStr">
        <is>
          <t>B5
(764 sf)</t>
        </is>
      </c>
      <c r="H112" s="4" t="inlineStr">
        <is>
          <t>B6
(764 sf)</t>
        </is>
      </c>
      <c r="I112" s="4" t="inlineStr">
        <is>
          <t>B7
(764 sf)</t>
        </is>
      </c>
      <c r="J112" s="4" t="inlineStr">
        <is>
          <t>C1
(850 sf)</t>
        </is>
      </c>
      <c r="K112" s="4" t="inlineStr">
        <is>
          <t>C2
(818 sf)</t>
        </is>
      </c>
      <c r="L112" s="4" t="inlineStr">
        <is>
          <t>C3
(883 sf)</t>
        </is>
      </c>
      <c r="M112" s="4" t="inlineStr">
        <is>
          <t>TOTAL</t>
        </is>
      </c>
      <c r="N112" s="4" t="inlineStr">
        <is>
          <t>%</t>
        </is>
      </c>
    </row>
    <row r="113">
      <c r="A113" s="5" t="inlineStr">
        <is>
          <t>TOTAL UNITS</t>
        </is>
      </c>
      <c r="B113" s="6" t="n">
        <v>206</v>
      </c>
      <c r="C113" s="6" t="n">
        <v>335</v>
      </c>
      <c r="D113" s="6" t="n">
        <v>247</v>
      </c>
      <c r="E113" s="6" t="n">
        <v>9</v>
      </c>
      <c r="F113" s="6" t="n">
        <v>3</v>
      </c>
      <c r="G113" s="6" t="n">
        <v>1</v>
      </c>
      <c r="H113" s="6" t="n">
        <v>1</v>
      </c>
      <c r="I113" s="6" t="n">
        <v>1</v>
      </c>
      <c r="J113" s="6" t="n">
        <v>300</v>
      </c>
      <c r="K113" s="6" t="n">
        <v>23</v>
      </c>
      <c r="L113" s="6" t="n">
        <v>22</v>
      </c>
      <c r="M113" s="6" t="n">
        <v>1148</v>
      </c>
    </row>
    <row r="114">
      <c r="A114" s="7" t="n">
        <v>46282</v>
      </c>
      <c r="B114" s="8" t="n">
        <v>178</v>
      </c>
      <c r="C114" s="8" t="n">
        <v>245</v>
      </c>
      <c r="D114" s="8" t="n">
        <v>163</v>
      </c>
      <c r="E114" s="8" t="n">
        <v>9</v>
      </c>
      <c r="F114" s="8" t="n">
        <v>0</v>
      </c>
      <c r="G114" s="8" t="n">
        <v>0</v>
      </c>
      <c r="H114" s="8" t="n">
        <v>0</v>
      </c>
      <c r="I114" s="8" t="n">
        <v>0</v>
      </c>
      <c r="J114" s="8" t="n">
        <v>204</v>
      </c>
      <c r="K114" s="8" t="n">
        <v>5</v>
      </c>
      <c r="L114" s="8" t="n">
        <v>20</v>
      </c>
      <c r="M114" s="8">
        <f>SUM(B114:L114)</f>
        <v/>
      </c>
      <c r="N114" s="9">
        <f>M114/M113</f>
        <v/>
      </c>
    </row>
    <row r="115">
      <c r="A115" s="7" t="n">
        <v>46283</v>
      </c>
      <c r="B115" s="8" t="n">
        <v>179</v>
      </c>
      <c r="C115" s="8" t="n">
        <v>246</v>
      </c>
      <c r="D115" s="8" t="n">
        <v>165</v>
      </c>
      <c r="E115" s="8" t="n">
        <v>9</v>
      </c>
      <c r="F115" s="8" t="n">
        <v>0</v>
      </c>
      <c r="G115" s="8" t="n">
        <v>0</v>
      </c>
      <c r="H115" s="8" t="n">
        <v>0</v>
      </c>
      <c r="I115" s="8" t="n">
        <v>0</v>
      </c>
      <c r="J115" s="8" t="n">
        <v>205</v>
      </c>
      <c r="K115" s="8" t="n">
        <v>5</v>
      </c>
      <c r="L115" s="8" t="n">
        <v>20</v>
      </c>
      <c r="M115" s="8">
        <f>SUM(B115:L115)</f>
        <v/>
      </c>
      <c r="N115" s="9">
        <f>M115/M113</f>
        <v/>
      </c>
    </row>
    <row r="116">
      <c r="A116" s="7" t="n">
        <v>46290</v>
      </c>
      <c r="B116" s="8" t="n">
        <v>179</v>
      </c>
      <c r="C116" s="8" t="n">
        <v>253</v>
      </c>
      <c r="D116" s="8" t="n">
        <v>167</v>
      </c>
      <c r="E116" s="8" t="n">
        <v>9</v>
      </c>
      <c r="F116" s="8" t="n">
        <v>0</v>
      </c>
      <c r="G116" s="8" t="n">
        <v>0</v>
      </c>
      <c r="H116" s="8" t="n">
        <v>0</v>
      </c>
      <c r="I116" s="8" t="n">
        <v>0</v>
      </c>
      <c r="J116" s="8" t="n">
        <v>210</v>
      </c>
      <c r="K116" s="8" t="n">
        <v>5</v>
      </c>
      <c r="L116" s="8" t="n">
        <v>20</v>
      </c>
      <c r="M116" s="8">
        <f>SUM(B116:L116)</f>
        <v/>
      </c>
      <c r="N116" s="9">
        <f>M116/M113</f>
        <v/>
      </c>
    </row>
    <row r="117">
      <c r="A117" s="7" t="n">
        <v>46297</v>
      </c>
      <c r="B117" s="8" t="n">
        <v>179</v>
      </c>
      <c r="C117" s="8" t="n">
        <v>257</v>
      </c>
      <c r="D117" s="8" t="n">
        <v>169</v>
      </c>
      <c r="E117" s="8" t="n">
        <v>9</v>
      </c>
      <c r="F117" s="8" t="n">
        <v>0</v>
      </c>
      <c r="G117" s="8" t="n">
        <v>0</v>
      </c>
      <c r="H117" s="8" t="n">
        <v>0</v>
      </c>
      <c r="I117" s="8" t="n">
        <v>0</v>
      </c>
      <c r="J117" s="8" t="n">
        <v>213</v>
      </c>
      <c r="K117" s="8" t="n">
        <v>5</v>
      </c>
      <c r="L117" s="8" t="n">
        <v>21</v>
      </c>
      <c r="M117" s="8">
        <f>SUM(B117:L117)</f>
        <v/>
      </c>
      <c r="N117" s="9">
        <f>M117/M113</f>
        <v/>
      </c>
    </row>
    <row r="118">
      <c r="A118" s="10" t="n">
        <v>46304</v>
      </c>
      <c r="B118" s="11" t="n">
        <v>180</v>
      </c>
      <c r="C118" s="11" t="n">
        <v>262</v>
      </c>
      <c r="D118" s="11" t="n">
        <v>171</v>
      </c>
      <c r="E118" s="11" t="n">
        <v>9</v>
      </c>
      <c r="F118" s="11" t="n">
        <v>0</v>
      </c>
      <c r="G118" s="11" t="n">
        <v>0</v>
      </c>
      <c r="H118" s="11" t="n">
        <v>0</v>
      </c>
      <c r="I118" s="11" t="n">
        <v>0</v>
      </c>
      <c r="J118" s="11" t="n">
        <v>216</v>
      </c>
      <c r="K118" s="11" t="n">
        <v>5</v>
      </c>
      <c r="L118" s="11" t="n">
        <v>21</v>
      </c>
      <c r="M118" s="11">
        <f>SUM(B118:L118)</f>
        <v/>
      </c>
      <c r="N118" s="12">
        <f>M118/M113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>
        <is>
          <t>Yes</t>
        </is>
      </c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>
        <is>
          <t>Yes</t>
        </is>
      </c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>
        <is>
          <t>Yes</t>
        </is>
      </c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>
        <is>
          <t>Yes</t>
        </is>
      </c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>
        <is>
          <t>Yes</t>
        </is>
      </c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>
        <is>
          <t>Yes</t>
        </is>
      </c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2026-10-09T23:33:13Z</dcterms:created>
  <dcterms:modified xsi:type="dcterms:W3CDTF">2026-10-09T23:33:14Z</dcterms:modified>
</cp:coreProperties>
</file>