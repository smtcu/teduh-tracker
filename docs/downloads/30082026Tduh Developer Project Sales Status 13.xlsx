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</cols>
  <sheetData>
    <row r="2">
      <c r="A2" s="1" t="inlineStr">
        <is>
          <t>Report as at 30/08/2026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3" t="n">
        <v>46248</v>
      </c>
      <c r="BA3" s="3" t="n">
        <v>46255</v>
      </c>
      <c r="BD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5" t="inlineStr">
        <is>
          <t xml:space="preserve">NEW SALES </t>
        </is>
      </c>
      <c r="AY4" s="5" t="inlineStr">
        <is>
          <t>TOTAL SOLD</t>
        </is>
      </c>
      <c r="AZ4" s="5" t="inlineStr">
        <is>
          <t>%</t>
        </is>
      </c>
      <c r="BA4" s="5" t="inlineStr">
        <is>
          <t xml:space="preserve">NEW SALES </t>
        </is>
      </c>
      <c r="BB4" s="5" t="inlineStr">
        <is>
          <t>TOTAL SOLD</t>
        </is>
      </c>
      <c r="BC4" s="5" t="inlineStr">
        <is>
          <t>%</t>
        </is>
      </c>
      <c r="BD4" s="6" t="inlineStr">
        <is>
          <t xml:space="preserve">NEW SALES </t>
        </is>
      </c>
      <c r="BE4" s="6" t="inlineStr">
        <is>
          <t>TOTAL SOLD</t>
        </is>
      </c>
      <c r="BF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9" t="n"/>
      <c r="AY5" s="9" t="n">
        <v>177</v>
      </c>
      <c r="AZ5" s="10">
        <f>AY5/$E$5</f>
        <v/>
      </c>
      <c r="BA5" s="9">
        <f>BB5-AY5</f>
        <v/>
      </c>
      <c r="BB5" s="9" t="n">
        <v>183</v>
      </c>
      <c r="BC5" s="10">
        <f>BB5/$E$5</f>
        <v/>
      </c>
      <c r="BD5" s="11">
        <f>BE5-BB5</f>
        <v/>
      </c>
      <c r="BE5" s="11" t="n">
        <v>188</v>
      </c>
      <c r="BF5" s="12">
        <f>BE5/$E$5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9">
        <f>AY6-AV6</f>
        <v/>
      </c>
      <c r="AY6" s="9" t="n">
        <v>334</v>
      </c>
      <c r="AZ6" s="10">
        <f>AY6/$E$6</f>
        <v/>
      </c>
      <c r="BA6" s="9">
        <f>BB6-AY6</f>
        <v/>
      </c>
      <c r="BB6" s="9" t="n">
        <v>344</v>
      </c>
      <c r="BC6" s="10">
        <f>BB6/$E$6</f>
        <v/>
      </c>
      <c r="BD6" s="11">
        <f>BE6-BB6</f>
        <v/>
      </c>
      <c r="BE6" s="11" t="n">
        <v>355</v>
      </c>
      <c r="BF6" s="12">
        <f>BE6/$E$6</f>
        <v/>
      </c>
    </row>
    <row r="7">
      <c r="A7" s="7" t="n">
        <v>3</v>
      </c>
      <c r="B7" s="8" t="inlineStr">
        <is>
          <t>ARTE STAR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9">
        <f>AY7-AV7</f>
        <v/>
      </c>
      <c r="AY7" s="9" t="n">
        <v>119</v>
      </c>
      <c r="AZ7" s="10">
        <f>AY7/$E$7</f>
        <v/>
      </c>
      <c r="BA7" s="9">
        <f>BB7-AY7</f>
        <v/>
      </c>
      <c r="BB7" s="9" t="n">
        <v>123</v>
      </c>
      <c r="BC7" s="10">
        <f>BB7/$E$7</f>
        <v/>
      </c>
      <c r="BD7" s="11">
        <f>BE7-BB7</f>
        <v/>
      </c>
      <c r="BE7" s="11" t="n">
        <v>128</v>
      </c>
      <c r="BF7" s="12">
        <f>BE7/$E$7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9">
        <f>AY8-AV8</f>
        <v/>
      </c>
      <c r="AY8" s="9" t="n">
        <v>996</v>
      </c>
      <c r="AZ8" s="10">
        <f>AY8/$E$8</f>
        <v/>
      </c>
      <c r="BA8" s="9">
        <f>BB8-AY8</f>
        <v/>
      </c>
      <c r="BB8" s="9" t="n">
        <v>1003</v>
      </c>
      <c r="BC8" s="10">
        <f>BB8/$E$8</f>
        <v/>
      </c>
      <c r="BD8" s="11">
        <f>BE8-BB8</f>
        <v/>
      </c>
      <c r="BE8" s="11" t="n">
        <v>1009</v>
      </c>
      <c r="BF8" s="12">
        <f>BE8/$E$8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9">
        <f>AY9-AV9</f>
        <v/>
      </c>
      <c r="AY9" s="9" t="n">
        <v>1125</v>
      </c>
      <c r="AZ9" s="10">
        <f>AY9/$E$9</f>
        <v/>
      </c>
      <c r="BA9" s="9">
        <f>BB9-AY9</f>
        <v/>
      </c>
      <c r="BB9" s="9" t="n">
        <v>1125</v>
      </c>
      <c r="BC9" s="10">
        <f>BB9/$E$9</f>
        <v/>
      </c>
      <c r="BD9" s="11">
        <f>BE9-BB9</f>
        <v/>
      </c>
      <c r="BE9" s="11" t="n">
        <v>1126</v>
      </c>
      <c r="BF9" s="12">
        <f>BE9/$E$9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9">
        <f>AY10-AV10</f>
        <v/>
      </c>
      <c r="AY10" s="9" t="n">
        <v>499</v>
      </c>
      <c r="AZ10" s="10">
        <f>AY10/$E$10</f>
        <v/>
      </c>
      <c r="BA10" s="9">
        <f>BB10-AY10</f>
        <v/>
      </c>
      <c r="BB10" s="9" t="n">
        <v>509</v>
      </c>
      <c r="BC10" s="10">
        <f>BB10/$E$10</f>
        <v/>
      </c>
      <c r="BD10" s="11">
        <f>BE10-BB10</f>
        <v/>
      </c>
      <c r="BE10" s="11" t="n">
        <v>519</v>
      </c>
      <c r="BF10" s="12">
        <f>BE10/$E$10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9">
        <f>AY11-AV11</f>
        <v/>
      </c>
      <c r="AY11" s="9" t="n">
        <v>467</v>
      </c>
      <c r="AZ11" s="10">
        <f>AY11/$E$11</f>
        <v/>
      </c>
      <c r="BA11" s="9">
        <f>BB11-AY11</f>
        <v/>
      </c>
      <c r="BB11" s="9" t="n">
        <v>467</v>
      </c>
      <c r="BC11" s="10">
        <f>BB11/$E$11</f>
        <v/>
      </c>
      <c r="BD11" s="11">
        <f>BE11-BB11</f>
        <v/>
      </c>
      <c r="BE11" s="11" t="n">
        <v>467</v>
      </c>
      <c r="BF11" s="12">
        <f>BE11/$E$11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9">
        <f>AY12-AV12</f>
        <v/>
      </c>
      <c r="AY12" s="9" t="n">
        <v>236</v>
      </c>
      <c r="AZ12" s="10">
        <f>AY12/$E$12</f>
        <v/>
      </c>
      <c r="BA12" s="9">
        <f>BB12-AY12</f>
        <v/>
      </c>
      <c r="BB12" s="9" t="n">
        <v>236</v>
      </c>
      <c r="BC12" s="10">
        <f>BB12/$E$12</f>
        <v/>
      </c>
      <c r="BD12" s="11">
        <f>BE12-BB12</f>
        <v/>
      </c>
      <c r="BE12" s="11" t="n">
        <v>237</v>
      </c>
      <c r="BF12" s="12">
        <f>BE12/$E$12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9">
        <f>AY13-AV13</f>
        <v/>
      </c>
      <c r="AY13" s="9" t="n">
        <v>618</v>
      </c>
      <c r="AZ13" s="10">
        <f>AY13/$E$13</f>
        <v/>
      </c>
      <c r="BA13" s="9">
        <f>BB13-AY13</f>
        <v/>
      </c>
      <c r="BB13" s="9" t="n">
        <v>626</v>
      </c>
      <c r="BC13" s="10">
        <f>BB13/$E$13</f>
        <v/>
      </c>
      <c r="BD13" s="11">
        <f>BE13-BB13</f>
        <v/>
      </c>
      <c r="BE13" s="11" t="n">
        <v>647</v>
      </c>
      <c r="BF13" s="12">
        <f>BE13/$E$13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9">
        <f>AY14-AV14</f>
        <v/>
      </c>
      <c r="AY14" s="9" t="n">
        <v>1142</v>
      </c>
      <c r="AZ14" s="10">
        <f>AY14/$E$14</f>
        <v/>
      </c>
      <c r="BA14" s="9">
        <f>BB14-AY14</f>
        <v/>
      </c>
      <c r="BB14" s="9" t="n">
        <v>1151</v>
      </c>
      <c r="BC14" s="10">
        <f>BB14/$E$14</f>
        <v/>
      </c>
      <c r="BD14" s="11">
        <f>BE14-BB14</f>
        <v/>
      </c>
      <c r="BE14" s="11" t="n">
        <v>1157</v>
      </c>
      <c r="BF14" s="12">
        <f>BE14/$E$14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9">
        <f>AY15-AV15</f>
        <v/>
      </c>
      <c r="AY15" s="9" t="n">
        <v>125</v>
      </c>
      <c r="AZ15" s="10">
        <f>AY15/$E$15</f>
        <v/>
      </c>
      <c r="BA15" s="9">
        <f>BB15-AY15</f>
        <v/>
      </c>
      <c r="BB15" s="9" t="n">
        <v>127</v>
      </c>
      <c r="BC15" s="10">
        <f>BB15/$E$15</f>
        <v/>
      </c>
      <c r="BD15" s="11">
        <f>BE15-BB15</f>
        <v/>
      </c>
      <c r="BE15" s="11" t="n">
        <v>134</v>
      </c>
      <c r="BF15" s="12">
        <f>BE15/$E$15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9">
        <f>AY16-AV16</f>
        <v/>
      </c>
      <c r="AY16" s="9" t="n">
        <v>659</v>
      </c>
      <c r="AZ16" s="10">
        <f>AY16/$E$16</f>
        <v/>
      </c>
      <c r="BA16" s="9">
        <f>BB16-AY16</f>
        <v/>
      </c>
      <c r="BB16" s="9" t="n">
        <v>659</v>
      </c>
      <c r="BC16" s="10">
        <f>BB16/$E$16</f>
        <v/>
      </c>
      <c r="BD16" s="11">
        <f>BE16-BB16</f>
        <v/>
      </c>
      <c r="BE16" s="11" t="n">
        <v>659</v>
      </c>
      <c r="BF16" s="12">
        <f>BE16/$E$16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9" t="n"/>
      <c r="AY17" s="9" t="n"/>
      <c r="AZ17" s="10" t="n"/>
      <c r="BA17" s="9" t="n"/>
      <c r="BB17" s="9" t="n"/>
      <c r="BC17" s="10" t="n"/>
      <c r="BD17" s="11" t="n"/>
      <c r="BE17" s="11" t="n"/>
      <c r="BF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9" t="n"/>
      <c r="AY18" s="9" t="n">
        <v>139</v>
      </c>
      <c r="AZ18" s="10">
        <f>AY18/$E$18</f>
        <v/>
      </c>
      <c r="BA18" s="9">
        <f>BB18-AY18</f>
        <v/>
      </c>
      <c r="BB18" s="9" t="n">
        <v>191</v>
      </c>
      <c r="BC18" s="10">
        <f>BB18/$E$18</f>
        <v/>
      </c>
      <c r="BD18" s="11">
        <f>BE18-BB18</f>
        <v/>
      </c>
      <c r="BE18" s="11" t="n">
        <v>260</v>
      </c>
      <c r="BF18" s="12">
        <f>BE18/$E$18</f>
        <v/>
      </c>
    </row>
  </sheetData>
  <mergeCells count="18">
    <mergeCell ref="F3:G3"/>
    <mergeCell ref="AU3:AW3"/>
    <mergeCell ref="BA3:BC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BD3:BF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2026-08-30T08:03:08Z</dcterms:created>
  <dcterms:modified xsi:type="dcterms:W3CDTF">2026-08-30T08:03:08Z</dcterms:modified>
</cp:coreProperties>
</file>