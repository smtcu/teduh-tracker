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6" customWidth="1" min="12" max="12"/>
  </cols>
  <sheetData>
    <row r="2">
      <c r="A2" s="1" t="inlineStr">
        <is>
          <t>Report as at 01/09/2026</t>
        </is>
      </c>
    </row>
    <row r="3">
      <c r="A3" s="2" t="inlineStr">
        <is>
          <t>WEEKLY TEDUH SALES REPORT (UKAY PROJECTS)</t>
        </is>
      </c>
      <c r="F3" s="3" t="n">
        <v>46255</v>
      </c>
      <c r="I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6" t="inlineStr">
        <is>
          <t>NEW SALES</t>
        </is>
      </c>
      <c r="J4" s="6" t="inlineStr">
        <is>
          <t>TOTAL SOLD</t>
        </is>
      </c>
      <c r="K4" s="6" t="inlineStr">
        <is>
          <t>TOTAL %</t>
        </is>
      </c>
      <c r="L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2">
        <f>J5-G5</f>
        <v/>
      </c>
      <c r="J5" s="12" t="n">
        <v>94</v>
      </c>
      <c r="K5" s="13">
        <f>J5/$D$5</f>
        <v/>
      </c>
      <c r="L5" s="8" t="inlineStr">
        <is>
          <t>Latest sales - Block A: 54 units, Block B: 40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2">
        <f>J6-G6</f>
        <v/>
      </c>
      <c r="J6" s="12" t="n">
        <v>347</v>
      </c>
      <c r="K6" s="13">
        <f>J6/$D$6</f>
        <v/>
      </c>
      <c r="L6" s="8" t="inlineStr">
        <is>
          <t>Latest sales - Block A1: 45 units, Block A2: 202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2" t="n"/>
      <c r="J7" s="12" t="n"/>
      <c r="K7" s="13" t="n"/>
      <c r="L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2" t="n"/>
      <c r="J8" s="12" t="n"/>
      <c r="K8" s="13" t="n"/>
      <c r="L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2">
        <f>J9-G9</f>
        <v/>
      </c>
      <c r="J9" s="12" t="n">
        <v>343</v>
      </c>
      <c r="K9" s="13">
        <f>J9/$D$9</f>
        <v/>
      </c>
      <c r="L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2">
        <f>J10-G10</f>
        <v/>
      </c>
      <c r="J10" s="12" t="n">
        <v>228</v>
      </c>
      <c r="K10" s="13">
        <f>J10/$D$10</f>
        <v/>
      </c>
      <c r="L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2">
        <f>J11-G11</f>
        <v/>
      </c>
      <c r="J11" s="12" t="n">
        <v>273</v>
      </c>
      <c r="K11" s="13">
        <f>J11/$D$11</f>
        <v/>
      </c>
      <c r="L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2">
        <f>J12-G12</f>
        <v/>
      </c>
      <c r="J12" s="12" t="n">
        <v>32</v>
      </c>
      <c r="K12" s="13">
        <f>J12/$D$12</f>
        <v/>
      </c>
      <c r="L12" s="8" t="inlineStr">
        <is>
          <t>Emery not found on TEDUH</t>
        </is>
      </c>
    </row>
    <row r="13">
      <c r="A13" s="7" t="n">
        <v>9</v>
      </c>
      <c r="B13" s="8" t="inlineStr">
        <is>
          <t>Tijani Ukay Ampang</t>
        </is>
      </c>
      <c r="C13" s="9" t="n">
        <v>41569</v>
      </c>
      <c r="D13" s="10" t="n">
        <v>118</v>
      </c>
      <c r="E13" s="8" t="inlineStr">
        <is>
          <t>Symphony Life Bhd (Ketapang Realty S/B)</t>
        </is>
      </c>
      <c r="F13" s="10" t="n"/>
      <c r="G13" s="10" t="n">
        <v>74</v>
      </c>
      <c r="H13" s="11">
        <f>G13/$D$13</f>
        <v/>
      </c>
      <c r="I13" s="12">
        <f>J13-G13</f>
        <v/>
      </c>
      <c r="J13" s="12" t="n">
        <v>74</v>
      </c>
      <c r="K13" s="13">
        <f>J13/$D$13</f>
        <v/>
      </c>
      <c r="L13" s="8" t="inlineStr"/>
    </row>
    <row r="14">
      <c r="A14" s="7" t="n">
        <v>10</v>
      </c>
      <c r="B14" s="8" t="inlineStr">
        <is>
          <t>19Trees</t>
        </is>
      </c>
      <c r="C14" s="9" t="n">
        <v>44831</v>
      </c>
      <c r="D14" s="10" t="n">
        <v>222</v>
      </c>
      <c r="E14" s="8" t="inlineStr">
        <is>
          <t>SDB Properties Sdn Bhd</t>
        </is>
      </c>
      <c r="F14" s="10" t="n"/>
      <c r="G14" s="10" t="n">
        <v>222</v>
      </c>
      <c r="H14" s="11">
        <f>G14/$D$14</f>
        <v/>
      </c>
      <c r="I14" s="12">
        <f>J14-G14</f>
        <v/>
      </c>
      <c r="J14" s="12" t="n">
        <v>222</v>
      </c>
      <c r="K14" s="13">
        <f>J14/$D$14</f>
        <v/>
      </c>
      <c r="L14" s="8" t="inlineStr"/>
    </row>
    <row r="15">
      <c r="A15" s="7" t="n">
        <v>11</v>
      </c>
      <c r="B15" s="8" t="inlineStr">
        <is>
          <t>20Trees</t>
        </is>
      </c>
      <c r="C15" s="9" t="n">
        <v>39167</v>
      </c>
      <c r="D15" s="10" t="n">
        <v>201</v>
      </c>
      <c r="E15" s="8" t="inlineStr">
        <is>
          <t>SDB Properties Sdn Bhd</t>
        </is>
      </c>
      <c r="F15" s="10" t="n"/>
      <c r="G15" s="10" t="n">
        <v>0</v>
      </c>
      <c r="H15" s="11">
        <f>G15/$D$15</f>
        <v/>
      </c>
      <c r="I15" s="12">
        <f>J15-G15</f>
        <v/>
      </c>
      <c r="J15" s="12" t="n">
        <v>0</v>
      </c>
      <c r="K15" s="13">
        <f>J15/$D$15</f>
        <v/>
      </c>
      <c r="L15" s="8" t="inlineStr">
        <is>
          <t>No unit found on TEDUH</t>
        </is>
      </c>
    </row>
    <row r="16">
      <c r="A16" s="7" t="n">
        <v>12</v>
      </c>
      <c r="B16" s="8" t="inlineStr">
        <is>
          <t>Nadayu 63</t>
        </is>
      </c>
      <c r="C16" s="9" t="n">
        <v>41892</v>
      </c>
      <c r="D16" s="10" t="n">
        <v>296</v>
      </c>
      <c r="E16" s="8" t="inlineStr">
        <is>
          <t>Nadayu Properties (Twin Ridge S/B)</t>
        </is>
      </c>
      <c r="F16" s="10" t="n"/>
      <c r="G16" s="10" t="n">
        <v>197</v>
      </c>
      <c r="H16" s="11">
        <f>G16/$D$16</f>
        <v/>
      </c>
      <c r="I16" s="12">
        <f>J16-G16</f>
        <v/>
      </c>
      <c r="J16" s="12" t="n">
        <v>197</v>
      </c>
      <c r="K16" s="13">
        <f>J16/$D$16</f>
        <v/>
      </c>
      <c r="L16" s="8" t="inlineStr">
        <is>
          <t>Latest sales - Block B: 197 units</t>
        </is>
      </c>
    </row>
    <row r="17">
      <c r="A17" s="7" t="n">
        <v>13</v>
      </c>
      <c r="B17" s="8" t="inlineStr">
        <is>
          <t>16 Quartz @ Taman Melawati</t>
        </is>
      </c>
      <c r="C17" s="9" t="n">
        <v>41527</v>
      </c>
      <c r="D17" s="10" t="n">
        <v>117</v>
      </c>
      <c r="E17" s="8" t="inlineStr">
        <is>
          <t>Mitraland (Mitraland Melawati S/B)</t>
        </is>
      </c>
      <c r="F17" s="10" t="n"/>
      <c r="G17" s="10" t="n">
        <v>81</v>
      </c>
      <c r="H17" s="11">
        <f>G17/$D$17</f>
        <v/>
      </c>
      <c r="I17" s="12">
        <f>J17-G17</f>
        <v/>
      </c>
      <c r="J17" s="12" t="n">
        <v>81</v>
      </c>
      <c r="K17" s="13">
        <f>J17/$D$17</f>
        <v/>
      </c>
      <c r="L17" s="8" t="inlineStr"/>
    </row>
    <row r="18">
      <c r="A18" s="7" t="n">
        <v>14</v>
      </c>
      <c r="B18" s="8" t="inlineStr">
        <is>
          <t>Trinity Wellnessa</t>
        </is>
      </c>
      <c r="C18" s="9" t="n">
        <v>44393</v>
      </c>
      <c r="D18" s="10" t="n">
        <v>463</v>
      </c>
      <c r="E18" s="8" t="inlineStr">
        <is>
          <t>Trinity Group (Trinity Wellnessa &amp; Enlivea Dev S/B)</t>
        </is>
      </c>
      <c r="F18" s="10" t="n"/>
      <c r="G18" s="10" t="n">
        <v>456</v>
      </c>
      <c r="H18" s="11">
        <f>G18/$D$18</f>
        <v/>
      </c>
      <c r="I18" s="12">
        <f>J18-G18</f>
        <v/>
      </c>
      <c r="J18" s="12" t="n">
        <v>456</v>
      </c>
      <c r="K18" s="13">
        <f>J18/$D$18</f>
        <v/>
      </c>
      <c r="L18" s="8" t="inlineStr">
        <is>
          <t>Latest sales - Block A1: 223 units, Block A2: 233 units</t>
        </is>
      </c>
    </row>
    <row r="19">
      <c r="A19" s="7" t="n">
        <v>15</v>
      </c>
      <c r="B19" s="8" t="inlineStr">
        <is>
          <t>Nassim Heights</t>
        </is>
      </c>
      <c r="C19" s="9" t="n">
        <v>44251</v>
      </c>
      <c r="D19" s="10" t="n">
        <v>106</v>
      </c>
      <c r="E19" s="8" t="inlineStr">
        <is>
          <t>Newfield Holding (Nassim Development S/B)</t>
        </is>
      </c>
      <c r="F19" s="10" t="n"/>
      <c r="G19" s="10" t="n">
        <v>104</v>
      </c>
      <c r="H19" s="11">
        <f>G19/$D$19</f>
        <v/>
      </c>
      <c r="I19" s="12">
        <f>J19-G19</f>
        <v/>
      </c>
      <c r="J19" s="12" t="n">
        <v>104</v>
      </c>
      <c r="K19" s="13">
        <f>J19/$D$19</f>
        <v/>
      </c>
      <c r="L19" s="8" t="inlineStr"/>
    </row>
    <row r="20">
      <c r="A20" s="7" t="n">
        <v>16</v>
      </c>
      <c r="B20" s="8" t="inlineStr">
        <is>
          <t>Kelab Ukay Residence</t>
        </is>
      </c>
      <c r="C20" s="9" t="n">
        <v>40799</v>
      </c>
      <c r="D20" s="10" t="n">
        <v>15</v>
      </c>
      <c r="E20" s="8" t="inlineStr">
        <is>
          <t>Sri Datai / Strong Heritage S/B</t>
        </is>
      </c>
      <c r="F20" s="10" t="n"/>
      <c r="G20" s="10" t="n">
        <v>11</v>
      </c>
      <c r="H20" s="11">
        <f>G20/$D$20</f>
        <v/>
      </c>
      <c r="I20" s="12">
        <f>J20-G20</f>
        <v/>
      </c>
      <c r="J20" s="12" t="n">
        <v>11</v>
      </c>
      <c r="K20" s="13">
        <f>J20/$D$20</f>
        <v/>
      </c>
      <c r="L20" s="8" t="inlineStr"/>
    </row>
    <row r="21">
      <c r="A21" s="7" t="n">
        <v>17</v>
      </c>
      <c r="B21" s="8" t="inlineStr">
        <is>
          <t>Villaria</t>
        </is>
      </c>
      <c r="C21" s="9" t="n"/>
      <c r="D21" s="10" t="n">
        <v>0</v>
      </c>
      <c r="E21" s="8" t="inlineStr"/>
      <c r="F21" s="10" t="n"/>
      <c r="G21" s="10" t="n"/>
      <c r="H21" s="11" t="n"/>
      <c r="I21" s="12" t="n"/>
      <c r="J21" s="12" t="n"/>
      <c r="K21" s="13" t="n"/>
      <c r="L21" s="8" t="inlineStr">
        <is>
          <t>No TEDUH code</t>
        </is>
      </c>
    </row>
  </sheetData>
  <mergeCells count="2">
    <mergeCell ref="I3:K3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2026-09-01T01:02:54Z</dcterms:created>
  <dcterms:modified xsi:type="dcterms:W3CDTF">2026-09-01T01:02:54Z</dcterms:modified>
</cp:coreProperties>
</file>