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Y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</cols>
  <sheetData>
    <row r="2">
      <c r="A2" s="1" t="inlineStr">
        <is>
          <t>Report as at 10/10/2026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3" t="n">
        <v>46297</v>
      </c>
      <c r="BW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5" t="inlineStr">
        <is>
          <t xml:space="preserve">NEW SALES </t>
        </is>
      </c>
      <c r="BU4" s="5" t="inlineStr">
        <is>
          <t>TOTAL SOLD</t>
        </is>
      </c>
      <c r="BV4" s="5" t="inlineStr">
        <is>
          <t>%</t>
        </is>
      </c>
      <c r="BW4" s="6" t="inlineStr">
        <is>
          <t xml:space="preserve">NEW SALES </t>
        </is>
      </c>
      <c r="BX4" s="6" t="inlineStr">
        <is>
          <t>TOTAL SOLD</t>
        </is>
      </c>
      <c r="BY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0">
        <f>BU5-BR5</f>
        <v/>
      </c>
      <c r="BU5" s="10" t="n">
        <v>245</v>
      </c>
      <c r="BV5" s="11">
        <f>BU5/$D$5</f>
        <v/>
      </c>
      <c r="BW5" s="12">
        <f>BX5-BU5</f>
        <v/>
      </c>
      <c r="BX5" s="12" t="n">
        <v>250</v>
      </c>
      <c r="BY5" s="13">
        <f>BX5/$D$5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0">
        <f>BU6-BR6</f>
        <v/>
      </c>
      <c r="BU6" s="10" t="n">
        <v>416</v>
      </c>
      <c r="BV6" s="11">
        <f>BU6/$D$6</f>
        <v/>
      </c>
      <c r="BW6" s="12">
        <f>BX6-BU6</f>
        <v/>
      </c>
      <c r="BX6" s="12" t="n">
        <v>423</v>
      </c>
      <c r="BY6" s="13">
        <f>BX6/$D$6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0" t="n"/>
      <c r="BU7" s="10" t="n"/>
      <c r="BV7" s="11" t="n"/>
      <c r="BW7" s="12" t="n"/>
      <c r="BX7" s="12" t="n"/>
      <c r="BY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0">
        <f>BU8-BR8</f>
        <v/>
      </c>
      <c r="BU8" s="10" t="n">
        <v>1046</v>
      </c>
      <c r="BV8" s="11">
        <f>BU8/$D$8</f>
        <v/>
      </c>
      <c r="BW8" s="12">
        <f>BX8-BU8</f>
        <v/>
      </c>
      <c r="BX8" s="12" t="n">
        <v>1052</v>
      </c>
      <c r="BY8" s="13">
        <f>BX8/$D$8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0">
        <f>BU9-BR9</f>
        <v/>
      </c>
      <c r="BU9" s="10" t="n">
        <v>1130</v>
      </c>
      <c r="BV9" s="11">
        <f>BU9/$D$9</f>
        <v/>
      </c>
      <c r="BW9" s="12">
        <f>BX9-BU9</f>
        <v/>
      </c>
      <c r="BX9" s="12" t="n">
        <v>1132</v>
      </c>
      <c r="BY9" s="13">
        <f>BX9/$D$9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0">
        <f>BU10-BR10</f>
        <v/>
      </c>
      <c r="BU10" s="10" t="n">
        <v>552</v>
      </c>
      <c r="BV10" s="11">
        <f>BU10/$D$10</f>
        <v/>
      </c>
      <c r="BW10" s="12">
        <f>BX10-BU10</f>
        <v/>
      </c>
      <c r="BX10" s="12" t="n">
        <v>565</v>
      </c>
      <c r="BY10" s="13">
        <f>BX10/$D$10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0">
        <f>BU11-BR11</f>
        <v/>
      </c>
      <c r="BU11" s="10" t="n">
        <v>470</v>
      </c>
      <c r="BV11" s="11">
        <f>BU11/$D$11</f>
        <v/>
      </c>
      <c r="BW11" s="12">
        <f>BX11-BU11</f>
        <v/>
      </c>
      <c r="BX11" s="12" t="n">
        <v>471</v>
      </c>
      <c r="BY11" s="13">
        <f>BX11/$D$11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0">
        <f>BU12-BR12</f>
        <v/>
      </c>
      <c r="BU12" s="10" t="n">
        <v>240</v>
      </c>
      <c r="BV12" s="11">
        <f>BU12/$D$12</f>
        <v/>
      </c>
      <c r="BW12" s="12">
        <f>BX12-BU12</f>
        <v/>
      </c>
      <c r="BX12" s="12" t="n">
        <v>240</v>
      </c>
      <c r="BY12" s="13">
        <f>BX12/$D$12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0">
        <f>BU13-BR13</f>
        <v/>
      </c>
      <c r="BU13" s="10" t="n">
        <v>697</v>
      </c>
      <c r="BV13" s="11">
        <f>BU13/$D$13</f>
        <v/>
      </c>
      <c r="BW13" s="12">
        <f>BX13-BU13</f>
        <v/>
      </c>
      <c r="BX13" s="12" t="n">
        <v>711</v>
      </c>
      <c r="BY13" s="13">
        <f>BX13/$D$13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0">
        <f>BU14-BR14</f>
        <v/>
      </c>
      <c r="BU14" s="10" t="n">
        <v>1186</v>
      </c>
      <c r="BV14" s="11">
        <f>BU14/$D$14</f>
        <v/>
      </c>
      <c r="BW14" s="12">
        <f>BX14-BU14</f>
        <v/>
      </c>
      <c r="BX14" s="12" t="n">
        <v>1189</v>
      </c>
      <c r="BY14" s="13">
        <f>BX14/$D$14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0">
        <f>BU15-BR15</f>
        <v/>
      </c>
      <c r="BU15" s="10" t="n">
        <v>156</v>
      </c>
      <c r="BV15" s="11">
        <f>BU15/$D$15</f>
        <v/>
      </c>
      <c r="BW15" s="12">
        <f>BX15-BU15</f>
        <v/>
      </c>
      <c r="BX15" s="12" t="n">
        <v>161</v>
      </c>
      <c r="BY15" s="13">
        <f>BX15/$D$15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0">
        <f>BU16-BR16</f>
        <v/>
      </c>
      <c r="BU16" s="10" t="n">
        <v>659</v>
      </c>
      <c r="BV16" s="11">
        <f>BU16/$D$16</f>
        <v/>
      </c>
      <c r="BW16" s="12">
        <f>BX16-BU16</f>
        <v/>
      </c>
      <c r="BX16" s="12" t="n">
        <v>659</v>
      </c>
      <c r="BY16" s="13">
        <f>BX16/$D$16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0" t="n"/>
      <c r="BU17" s="10" t="n"/>
      <c r="BV17" s="11" t="n"/>
      <c r="BW17" s="12" t="n"/>
      <c r="BX17" s="12" t="n"/>
      <c r="BY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0">
        <f>BU18-BR18</f>
        <v/>
      </c>
      <c r="BU18" s="10" t="n">
        <v>465</v>
      </c>
      <c r="BV18" s="11">
        <f>BU18/$D$18</f>
        <v/>
      </c>
      <c r="BW18" s="12">
        <f>BX18-BU18</f>
        <v/>
      </c>
      <c r="BX18" s="12" t="n">
        <v>492</v>
      </c>
      <c r="BY18" s="13">
        <f>BX18/$D$18</f>
        <v/>
      </c>
    </row>
  </sheetData>
  <mergeCells count="24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BW3:BY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2026-10-09T23:33:15Z</dcterms:created>
  <dcterms:modified xsi:type="dcterms:W3CDTF">2026-10-09T23:33:15Z</dcterms:modified>
</cp:coreProperties>
</file>