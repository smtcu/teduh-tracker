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9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/MM/YY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2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42" customWidth="1" min="40" max="40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26/09/2026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3" t="n">
        <v>46262</v>
      </c>
      <c r="AB3" s="3" t="n">
        <v>46269</v>
      </c>
      <c r="AE3" s="3" t="n">
        <v>46276</v>
      </c>
      <c r="AH3" s="3" t="n">
        <v>46283</v>
      </c>
      <c r="AK3" s="4" t="n">
        <v>46290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6" t="inlineStr">
        <is>
          <t>NEW SALES</t>
        </is>
      </c>
      <c r="AL4" s="6" t="inlineStr">
        <is>
          <t>TOTAL SOLD</t>
        </is>
      </c>
      <c r="AM4" s="6" t="inlineStr">
        <is>
          <t>%</t>
        </is>
      </c>
      <c r="AN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9" t="n">
        <v>45863</v>
      </c>
      <c r="D5" s="10" t="n">
        <v>146</v>
      </c>
      <c r="E5" s="7" t="inlineStr">
        <is>
          <t>32-16</t>
        </is>
      </c>
      <c r="F5" s="8" t="inlineStr">
        <is>
          <t>BRDB Developments Sdn Bhd</t>
        </is>
      </c>
      <c r="G5" s="10" t="n">
        <v>3</v>
      </c>
      <c r="H5" s="10" t="n">
        <v>30</v>
      </c>
      <c r="I5" s="11">
        <f>H5/$D$5</f>
        <v/>
      </c>
      <c r="J5" s="10">
        <f>K5-H5</f>
        <v/>
      </c>
      <c r="K5" s="10" t="n">
        <v>34</v>
      </c>
      <c r="L5" s="11">
        <f>K5/$D$5</f>
        <v/>
      </c>
      <c r="M5" s="10">
        <f>N5-K5</f>
        <v/>
      </c>
      <c r="N5" s="10" t="n">
        <v>40</v>
      </c>
      <c r="O5" s="11">
        <f>N5/$D$5</f>
        <v/>
      </c>
      <c r="P5" s="10">
        <f>Q5-N5</f>
        <v/>
      </c>
      <c r="Q5" s="10" t="n">
        <v>41</v>
      </c>
      <c r="R5" s="11">
        <f>Q5/$D$5</f>
        <v/>
      </c>
      <c r="S5" s="10">
        <f>T5-Q5</f>
        <v/>
      </c>
      <c r="T5" s="10" t="n">
        <v>43</v>
      </c>
      <c r="U5" s="11">
        <f>T5/$D$5</f>
        <v/>
      </c>
      <c r="V5" s="10">
        <f>W5-T5</f>
        <v/>
      </c>
      <c r="W5" s="10" t="n">
        <v>43</v>
      </c>
      <c r="X5" s="11">
        <f>W5/$D$5</f>
        <v/>
      </c>
      <c r="Y5" s="10">
        <f>Z5-W5</f>
        <v/>
      </c>
      <c r="Z5" s="10" t="n">
        <v>43</v>
      </c>
      <c r="AA5" s="11">
        <f>Z5/$D$5</f>
        <v/>
      </c>
      <c r="AB5" s="10">
        <f>AC5-Z5</f>
        <v/>
      </c>
      <c r="AC5" s="10" t="n">
        <v>43</v>
      </c>
      <c r="AD5" s="11">
        <f>AC5/$D$5</f>
        <v/>
      </c>
      <c r="AE5" s="10">
        <f>AF5-AC5</f>
        <v/>
      </c>
      <c r="AF5" s="10" t="n">
        <v>43</v>
      </c>
      <c r="AG5" s="11">
        <f>AF5/$D$5</f>
        <v/>
      </c>
      <c r="AH5" s="10">
        <f>AI5-AF5</f>
        <v/>
      </c>
      <c r="AI5" s="10" t="n">
        <v>43</v>
      </c>
      <c r="AJ5" s="11">
        <f>AI5/$D$5</f>
        <v/>
      </c>
      <c r="AK5" s="12">
        <f>AL5-AI5</f>
        <v/>
      </c>
      <c r="AL5" s="12" t="n">
        <v>43</v>
      </c>
      <c r="AM5" s="13">
        <f>AL5/$D$5</f>
        <v/>
      </c>
      <c r="AN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9" t="n">
        <v>45945</v>
      </c>
      <c r="D6" s="10" t="n">
        <v>154</v>
      </c>
      <c r="E6" s="7" t="inlineStr">
        <is>
          <t>30216-1</t>
        </is>
      </c>
      <c r="F6" s="8" t="inlineStr">
        <is>
          <t>Pavilion Group (Jendela Mayang S/B)</t>
        </is>
      </c>
      <c r="G6" s="10" t="n">
        <v>1</v>
      </c>
      <c r="H6" s="10" t="n">
        <v>32</v>
      </c>
      <c r="I6" s="11">
        <f>H6/$D$6</f>
        <v/>
      </c>
      <c r="J6" s="10">
        <f>K6-H6</f>
        <v/>
      </c>
      <c r="K6" s="10" t="n">
        <v>33</v>
      </c>
      <c r="L6" s="11">
        <f>K6/$D$6</f>
        <v/>
      </c>
      <c r="M6" s="10">
        <f>N6-K6</f>
        <v/>
      </c>
      <c r="N6" s="10" t="n">
        <v>33</v>
      </c>
      <c r="O6" s="11">
        <f>N6/$D$6</f>
        <v/>
      </c>
      <c r="P6" s="10">
        <f>Q6-N6</f>
        <v/>
      </c>
      <c r="Q6" s="10" t="n">
        <v>33</v>
      </c>
      <c r="R6" s="11">
        <f>Q6/$D$6</f>
        <v/>
      </c>
      <c r="S6" s="10">
        <f>T6-Q6</f>
        <v/>
      </c>
      <c r="T6" s="10" t="n">
        <v>33</v>
      </c>
      <c r="U6" s="11">
        <f>T6/$D$6</f>
        <v/>
      </c>
      <c r="V6" s="10">
        <f>W6-T6</f>
        <v/>
      </c>
      <c r="W6" s="10" t="n">
        <v>35</v>
      </c>
      <c r="X6" s="11">
        <f>W6/$D$6</f>
        <v/>
      </c>
      <c r="Y6" s="10">
        <f>Z6-W6</f>
        <v/>
      </c>
      <c r="Z6" s="10" t="n">
        <v>36</v>
      </c>
      <c r="AA6" s="11">
        <f>Z6/$D$6</f>
        <v/>
      </c>
      <c r="AB6" s="10">
        <f>AC6-Z6</f>
        <v/>
      </c>
      <c r="AC6" s="10" t="n">
        <v>36</v>
      </c>
      <c r="AD6" s="11">
        <f>AC6/$D$6</f>
        <v/>
      </c>
      <c r="AE6" s="10">
        <f>AF6-AC6</f>
        <v/>
      </c>
      <c r="AF6" s="10" t="n">
        <v>36</v>
      </c>
      <c r="AG6" s="11">
        <f>AF6/$D$6</f>
        <v/>
      </c>
      <c r="AH6" s="10">
        <f>AI6-AF6</f>
        <v/>
      </c>
      <c r="AI6" s="10" t="n">
        <v>38</v>
      </c>
      <c r="AJ6" s="11">
        <f>AI6/$D$6</f>
        <v/>
      </c>
      <c r="AK6" s="12">
        <f>AL6-AI6</f>
        <v/>
      </c>
      <c r="AL6" s="12" t="n">
        <v>38</v>
      </c>
      <c r="AM6" s="13">
        <f>AL6/$D$6</f>
        <v/>
      </c>
      <c r="AN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9" t="n">
        <v>46028</v>
      </c>
      <c r="D7" s="10" t="n">
        <v>490</v>
      </c>
      <c r="E7" s="7" t="inlineStr">
        <is>
          <t>30216-2</t>
        </is>
      </c>
      <c r="F7" s="8" t="inlineStr">
        <is>
          <t>Pavilion Group (Jendela Mayang S/B)</t>
        </is>
      </c>
      <c r="G7" s="10" t="n">
        <v>6</v>
      </c>
      <c r="H7" s="10" t="n">
        <v>29</v>
      </c>
      <c r="I7" s="11">
        <f>H7/$D$7</f>
        <v/>
      </c>
      <c r="J7" s="10">
        <f>K7-H7</f>
        <v/>
      </c>
      <c r="K7" s="10" t="n">
        <v>31</v>
      </c>
      <c r="L7" s="11">
        <f>K7/$D$7</f>
        <v/>
      </c>
      <c r="M7" s="10">
        <f>N7-K7</f>
        <v/>
      </c>
      <c r="N7" s="10" t="n">
        <v>37</v>
      </c>
      <c r="O7" s="11">
        <f>N7/$D$7</f>
        <v/>
      </c>
      <c r="P7" s="10">
        <f>Q7-N7</f>
        <v/>
      </c>
      <c r="Q7" s="10" t="n">
        <v>42</v>
      </c>
      <c r="R7" s="11">
        <f>Q7/$D$7</f>
        <v/>
      </c>
      <c r="S7" s="10">
        <f>T7-Q7</f>
        <v/>
      </c>
      <c r="T7" s="10" t="n">
        <v>45</v>
      </c>
      <c r="U7" s="11">
        <f>T7/$D$7</f>
        <v/>
      </c>
      <c r="V7" s="10">
        <f>W7-T7</f>
        <v/>
      </c>
      <c r="W7" s="10" t="n">
        <v>48</v>
      </c>
      <c r="X7" s="11">
        <f>W7/$D$7</f>
        <v/>
      </c>
      <c r="Y7" s="10">
        <f>Z7-W7</f>
        <v/>
      </c>
      <c r="Z7" s="10" t="n">
        <v>49</v>
      </c>
      <c r="AA7" s="11">
        <f>Z7/$D$7</f>
        <v/>
      </c>
      <c r="AB7" s="10">
        <f>AC7-Z7</f>
        <v/>
      </c>
      <c r="AC7" s="10" t="n">
        <v>51</v>
      </c>
      <c r="AD7" s="11">
        <f>AC7/$D$7</f>
        <v/>
      </c>
      <c r="AE7" s="10">
        <f>AF7-AC7</f>
        <v/>
      </c>
      <c r="AF7" s="10" t="n">
        <v>55</v>
      </c>
      <c r="AG7" s="11">
        <f>AF7/$D$7</f>
        <v/>
      </c>
      <c r="AH7" s="10">
        <f>AI7-AF7</f>
        <v/>
      </c>
      <c r="AI7" s="10" t="n">
        <v>61</v>
      </c>
      <c r="AJ7" s="11">
        <f>AI7/$D$7</f>
        <v/>
      </c>
      <c r="AK7" s="12">
        <f>AL7-AI7</f>
        <v/>
      </c>
      <c r="AL7" s="12" t="n">
        <v>62</v>
      </c>
      <c r="AM7" s="13">
        <f>AL7/$D$7</f>
        <v/>
      </c>
      <c r="AN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9" t="n">
        <v>45994</v>
      </c>
      <c r="D8" s="10" t="n">
        <v>48</v>
      </c>
      <c r="E8" s="7" t="inlineStr">
        <is>
          <t>31078-1</t>
        </is>
      </c>
      <c r="F8" s="8" t="inlineStr">
        <is>
          <t>Tan &amp; Tan Dev Berhad (Arabayu Sepakat S/B)</t>
        </is>
      </c>
      <c r="G8" s="10" t="n">
        <v>0</v>
      </c>
      <c r="H8" s="10" t="n">
        <v>45</v>
      </c>
      <c r="I8" s="11">
        <f>H8/$D$8</f>
        <v/>
      </c>
      <c r="J8" s="10">
        <f>K8-H8</f>
        <v/>
      </c>
      <c r="K8" s="10" t="n">
        <v>45</v>
      </c>
      <c r="L8" s="11">
        <f>K8/$D$8</f>
        <v/>
      </c>
      <c r="M8" s="10">
        <f>N8-K8</f>
        <v/>
      </c>
      <c r="N8" s="10" t="n">
        <v>45</v>
      </c>
      <c r="O8" s="11">
        <f>N8/$D$8</f>
        <v/>
      </c>
      <c r="P8" s="10">
        <f>Q8-N8</f>
        <v/>
      </c>
      <c r="Q8" s="10" t="n">
        <v>45</v>
      </c>
      <c r="R8" s="11">
        <f>Q8/$D$8</f>
        <v/>
      </c>
      <c r="S8" s="10">
        <f>T8-Q8</f>
        <v/>
      </c>
      <c r="T8" s="10" t="n">
        <v>45</v>
      </c>
      <c r="U8" s="11">
        <f>T8/$D$8</f>
        <v/>
      </c>
      <c r="V8" s="10">
        <f>W8-T8</f>
        <v/>
      </c>
      <c r="W8" s="10" t="n">
        <v>45</v>
      </c>
      <c r="X8" s="11">
        <f>W8/$D$8</f>
        <v/>
      </c>
      <c r="Y8" s="10">
        <f>Z8-W8</f>
        <v/>
      </c>
      <c r="Z8" s="10" t="n">
        <v>45</v>
      </c>
      <c r="AA8" s="11">
        <f>Z8/$D$8</f>
        <v/>
      </c>
      <c r="AB8" s="10">
        <f>AC8-Z8</f>
        <v/>
      </c>
      <c r="AC8" s="10" t="n">
        <v>45</v>
      </c>
      <c r="AD8" s="11">
        <f>AC8/$D$8</f>
        <v/>
      </c>
      <c r="AE8" s="10">
        <f>AF8-AC8</f>
        <v/>
      </c>
      <c r="AF8" s="10" t="n">
        <v>45</v>
      </c>
      <c r="AG8" s="11">
        <f>AF8/$D$8</f>
        <v/>
      </c>
      <c r="AH8" s="10">
        <f>AI8-AF8</f>
        <v/>
      </c>
      <c r="AI8" s="10" t="n">
        <v>46</v>
      </c>
      <c r="AJ8" s="11">
        <f>AI8/$D$8</f>
        <v/>
      </c>
      <c r="AK8" s="12">
        <f>AL8-AI8</f>
        <v/>
      </c>
      <c r="AL8" s="12" t="n">
        <v>46</v>
      </c>
      <c r="AM8" s="13">
        <f>AL8/$D$8</f>
        <v/>
      </c>
      <c r="AN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9" t="n">
        <v>46122</v>
      </c>
      <c r="D9" s="10" t="n">
        <v>244</v>
      </c>
      <c r="E9" s="7" t="inlineStr">
        <is>
          <t>31274-1</t>
        </is>
      </c>
      <c r="F9" s="8" t="inlineStr">
        <is>
          <t>JKG Land Berhad (Modern Plus Sdn Bhd)</t>
        </is>
      </c>
      <c r="G9" s="10" t="n">
        <v>0</v>
      </c>
      <c r="H9" s="10" t="n">
        <v>0</v>
      </c>
      <c r="I9" s="11">
        <f>H9/$D$9</f>
        <v/>
      </c>
      <c r="J9" s="10">
        <f>K9-H9</f>
        <v/>
      </c>
      <c r="K9" s="10" t="n">
        <v>0</v>
      </c>
      <c r="L9" s="11">
        <f>K9/$D$9</f>
        <v/>
      </c>
      <c r="M9" s="10">
        <f>N9-K9</f>
        <v/>
      </c>
      <c r="N9" s="10" t="n">
        <v>1</v>
      </c>
      <c r="O9" s="11">
        <f>N9/$D$9</f>
        <v/>
      </c>
      <c r="P9" s="10">
        <f>Q9-N9</f>
        <v/>
      </c>
      <c r="Q9" s="10" t="n">
        <v>1</v>
      </c>
      <c r="R9" s="11">
        <f>Q9/$D$9</f>
        <v/>
      </c>
      <c r="S9" s="10">
        <f>T9-Q9</f>
        <v/>
      </c>
      <c r="T9" s="10" t="n">
        <v>1</v>
      </c>
      <c r="U9" s="11">
        <f>T9/$D$9</f>
        <v/>
      </c>
      <c r="V9" s="10">
        <f>W9-T9</f>
        <v/>
      </c>
      <c r="W9" s="10" t="n">
        <v>1</v>
      </c>
      <c r="X9" s="11">
        <f>W9/$D$9</f>
        <v/>
      </c>
      <c r="Y9" s="10">
        <f>Z9-W9</f>
        <v/>
      </c>
      <c r="Z9" s="10" t="n">
        <v>1</v>
      </c>
      <c r="AA9" s="11">
        <f>Z9/$D$9</f>
        <v/>
      </c>
      <c r="AB9" s="10">
        <f>AC9-Z9</f>
        <v/>
      </c>
      <c r="AC9" s="10" t="n">
        <v>1</v>
      </c>
      <c r="AD9" s="11">
        <f>AC9/$D$9</f>
        <v/>
      </c>
      <c r="AE9" s="10">
        <f>AF9-AC9</f>
        <v/>
      </c>
      <c r="AF9" s="10" t="n">
        <v>1</v>
      </c>
      <c r="AG9" s="11">
        <f>AF9/$D$9</f>
        <v/>
      </c>
      <c r="AH9" s="10">
        <f>AI9-AF9</f>
        <v/>
      </c>
      <c r="AI9" s="10" t="n">
        <v>0</v>
      </c>
      <c r="AJ9" s="11">
        <f>AI9/$D$9</f>
        <v/>
      </c>
      <c r="AK9" s="12">
        <f>AL9-AI9</f>
        <v/>
      </c>
      <c r="AL9" s="12" t="n">
        <v>0</v>
      </c>
      <c r="AM9" s="13">
        <f>AL9/$D$9</f>
        <v/>
      </c>
      <c r="AN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9" t="n">
        <v>46189</v>
      </c>
      <c r="D10" s="10" t="n">
        <v>433</v>
      </c>
      <c r="E10" s="7" t="inlineStr">
        <is>
          <t>2463-23</t>
        </is>
      </c>
      <c r="F10" s="8" t="inlineStr">
        <is>
          <t>Perdana ParkCity S/B</t>
        </is>
      </c>
      <c r="G10" s="10" t="n"/>
      <c r="H10" s="10" t="n"/>
      <c r="I10" s="11" t="n"/>
      <c r="J10" s="10" t="n"/>
      <c r="K10" s="10" t="n">
        <v>32</v>
      </c>
      <c r="L10" s="11">
        <f>K10/$D$10</f>
        <v/>
      </c>
      <c r="M10" s="10">
        <f>N10-K10</f>
        <v/>
      </c>
      <c r="N10" s="10" t="n">
        <v>214</v>
      </c>
      <c r="O10" s="11">
        <f>N10/$D$10</f>
        <v/>
      </c>
      <c r="P10" s="10">
        <f>Q10-N10</f>
        <v/>
      </c>
      <c r="Q10" s="10" t="n">
        <v>262</v>
      </c>
      <c r="R10" s="11">
        <f>Q10/$D$10</f>
        <v/>
      </c>
      <c r="S10" s="10">
        <f>T10-Q10</f>
        <v/>
      </c>
      <c r="T10" s="10" t="n">
        <v>306</v>
      </c>
      <c r="U10" s="11">
        <f>T10/$D$10</f>
        <v/>
      </c>
      <c r="V10" s="10">
        <f>W10-T10</f>
        <v/>
      </c>
      <c r="W10" s="10" t="n">
        <v>335</v>
      </c>
      <c r="X10" s="11">
        <f>W10/$D$10</f>
        <v/>
      </c>
      <c r="Y10" s="10">
        <f>Z10-W10</f>
        <v/>
      </c>
      <c r="Z10" s="10" t="n">
        <v>349</v>
      </c>
      <c r="AA10" s="11">
        <f>Z10/$D$10</f>
        <v/>
      </c>
      <c r="AB10" s="10">
        <f>AC10-Z10</f>
        <v/>
      </c>
      <c r="AC10" s="10" t="n">
        <v>353</v>
      </c>
      <c r="AD10" s="11">
        <f>AC10/$D$10</f>
        <v/>
      </c>
      <c r="AE10" s="10">
        <f>AF10-AC10</f>
        <v/>
      </c>
      <c r="AF10" s="10" t="n">
        <v>357</v>
      </c>
      <c r="AG10" s="11">
        <f>AF10/$D$10</f>
        <v/>
      </c>
      <c r="AH10" s="10">
        <f>AI10-AF10</f>
        <v/>
      </c>
      <c r="AI10" s="10" t="n">
        <v>357</v>
      </c>
      <c r="AJ10" s="11">
        <f>AI10/$D$10</f>
        <v/>
      </c>
      <c r="AK10" s="12">
        <f>AL10-AI10</f>
        <v/>
      </c>
      <c r="AL10" s="12" t="n">
        <v>359</v>
      </c>
      <c r="AM10" s="13">
        <f>AL10/$D$10</f>
        <v/>
      </c>
      <c r="AN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9" t="n">
        <v>46184</v>
      </c>
      <c r="D11" s="10" t="n">
        <v>495</v>
      </c>
      <c r="E11" s="7" t="inlineStr">
        <is>
          <t>30141-2</t>
        </is>
      </c>
      <c r="F11" s="8" t="inlineStr">
        <is>
          <t>UEM Sunrise (Laser Tower S/B)</t>
        </is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W11/$D$11</f>
        <v/>
      </c>
      <c r="Y11" s="10">
        <f>Z11-W11</f>
        <v/>
      </c>
      <c r="Z11" s="10" t="n">
        <v>1</v>
      </c>
      <c r="AA11" s="11">
        <f>Z11/$D$11</f>
        <v/>
      </c>
      <c r="AB11" s="10">
        <f>AC11-Z11</f>
        <v/>
      </c>
      <c r="AC11" s="10" t="n">
        <v>8</v>
      </c>
      <c r="AD11" s="11">
        <f>AC11/$D$11</f>
        <v/>
      </c>
      <c r="AE11" s="10">
        <f>AF11-AC11</f>
        <v/>
      </c>
      <c r="AF11" s="10" t="n">
        <v>39</v>
      </c>
      <c r="AG11" s="11">
        <f>AF11/$D$11</f>
        <v/>
      </c>
      <c r="AH11" s="10">
        <f>AI11-AF11</f>
        <v/>
      </c>
      <c r="AI11" s="10" t="n">
        <v>59</v>
      </c>
      <c r="AJ11" s="11">
        <f>AI11/$D$11</f>
        <v/>
      </c>
      <c r="AK11" s="12">
        <f>AL11-AI11</f>
        <v/>
      </c>
      <c r="AL11" s="12" t="n">
        <v>83</v>
      </c>
      <c r="AM11" s="13">
        <f>AL11/$D$11</f>
        <v/>
      </c>
      <c r="AN11" s="8" t="inlineStr"/>
    </row>
  </sheetData>
  <mergeCells count="11">
    <mergeCell ref="Y3:AA3"/>
    <mergeCell ref="M3:O3"/>
    <mergeCell ref="AB3:AD3"/>
    <mergeCell ref="AK3:AM3"/>
    <mergeCell ref="S3:U3"/>
    <mergeCell ref="G3:I3"/>
    <mergeCell ref="V3:X3"/>
    <mergeCell ref="AE3:AG3"/>
    <mergeCell ref="AH3:AJ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2026-09-26T23:52:25Z</dcterms:created>
  <dcterms:modified xsi:type="dcterms:W3CDTF">2026-09-26T23:52:25Z</dcterms:modified>
</cp:coreProperties>
</file>