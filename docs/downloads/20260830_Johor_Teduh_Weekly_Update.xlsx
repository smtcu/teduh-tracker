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L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46" customWidth="1" min="38" max="38"/>
  </cols>
  <sheetData>
    <row r="2">
      <c r="A2" s="1" t="inlineStr">
        <is>
          <t>Report as at 30/08/2026</t>
        </is>
      </c>
    </row>
    <row r="3">
      <c r="A3" s="2" t="inlineStr">
        <is>
          <t>WEEKLY TEDUH SALES REPORT (JB PROJECTS)</t>
        </is>
      </c>
      <c r="E3" s="3" t="n">
        <v>46192</v>
      </c>
      <c r="H3" s="3" t="n">
        <v>46199</v>
      </c>
      <c r="K3" s="3" t="n">
        <v>46206</v>
      </c>
      <c r="N3" s="3" t="n">
        <v>46213</v>
      </c>
      <c r="Q3" s="3" t="n">
        <v>46220</v>
      </c>
      <c r="T3" s="3" t="n">
        <v>46227</v>
      </c>
      <c r="W3" s="3" t="n">
        <v>46234</v>
      </c>
      <c r="Z3" s="3" t="n">
        <v>46241</v>
      </c>
      <c r="AC3" s="3" t="n">
        <v>46248</v>
      </c>
      <c r="AF3" s="3" t="n">
        <v>46255</v>
      </c>
      <c r="AI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5" t="inlineStr">
        <is>
          <t>NEW SALES</t>
        </is>
      </c>
      <c r="I4" s="5" t="inlineStr">
        <is>
          <t>TOTAL SOLD</t>
        </is>
      </c>
      <c r="J4" s="5" t="inlineStr">
        <is>
          <t>TOTAL %</t>
        </is>
      </c>
      <c r="K4" s="5" t="inlineStr">
        <is>
          <t>NEW SALES</t>
        </is>
      </c>
      <c r="L4" s="5" t="inlineStr">
        <is>
          <t>TOTAL SOLD</t>
        </is>
      </c>
      <c r="M4" s="5" t="inlineStr">
        <is>
          <t>TOTAL %</t>
        </is>
      </c>
      <c r="N4" s="5" t="inlineStr">
        <is>
          <t>NEW SALES</t>
        </is>
      </c>
      <c r="O4" s="5" t="inlineStr">
        <is>
          <t>TOTAL SOLD</t>
        </is>
      </c>
      <c r="P4" s="5" t="inlineStr">
        <is>
          <t>TOTAL %</t>
        </is>
      </c>
      <c r="Q4" s="5" t="inlineStr">
        <is>
          <t>NEW SALES</t>
        </is>
      </c>
      <c r="R4" s="5" t="inlineStr">
        <is>
          <t>TOTAL SOLD</t>
        </is>
      </c>
      <c r="S4" s="5" t="inlineStr">
        <is>
          <t>TOTAL %</t>
        </is>
      </c>
      <c r="T4" s="5" t="inlineStr">
        <is>
          <t>NEW SALES</t>
        </is>
      </c>
      <c r="U4" s="5" t="inlineStr">
        <is>
          <t>TOTAL SOLD</t>
        </is>
      </c>
      <c r="V4" s="5" t="inlineStr">
        <is>
          <t>TOTAL %</t>
        </is>
      </c>
      <c r="W4" s="5" t="inlineStr">
        <is>
          <t>NEW SALES</t>
        </is>
      </c>
      <c r="X4" s="5" t="inlineStr">
        <is>
          <t>TOTAL SOLD</t>
        </is>
      </c>
      <c r="Y4" s="5" t="inlineStr">
        <is>
          <t>TOTAL %</t>
        </is>
      </c>
      <c r="Z4" s="5" t="inlineStr">
        <is>
          <t>NEW SALES</t>
        </is>
      </c>
      <c r="AA4" s="5" t="inlineStr">
        <is>
          <t>TOTAL SOLD</t>
        </is>
      </c>
      <c r="AB4" s="5" t="inlineStr">
        <is>
          <t>TOTAL %</t>
        </is>
      </c>
      <c r="AC4" s="5" t="inlineStr">
        <is>
          <t>NEW SALES</t>
        </is>
      </c>
      <c r="AD4" s="5" t="inlineStr">
        <is>
          <t>TOTAL SOLD</t>
        </is>
      </c>
      <c r="AE4" s="5" t="inlineStr">
        <is>
          <t>TOTAL %</t>
        </is>
      </c>
      <c r="AF4" s="5" t="inlineStr">
        <is>
          <t>NEW SALES</t>
        </is>
      </c>
      <c r="AG4" s="5" t="inlineStr">
        <is>
          <t>TOTAL SOLD</t>
        </is>
      </c>
      <c r="AH4" s="5" t="inlineStr">
        <is>
          <t>TOTAL %</t>
        </is>
      </c>
      <c r="AI4" s="6" t="inlineStr">
        <is>
          <t>NEW SALES</t>
        </is>
      </c>
      <c r="AJ4" s="6" t="inlineStr">
        <is>
          <t>TOTAL SOLD</t>
        </is>
      </c>
      <c r="AK4" s="6" t="inlineStr">
        <is>
          <t>TOTAL %</t>
        </is>
      </c>
      <c r="AL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</row>
    <row r="6">
      <c r="A6" s="9" t="n">
        <v>1</v>
      </c>
      <c r="B6" s="10" t="inlineStr">
        <is>
          <t>The Straits View Duo</t>
        </is>
      </c>
      <c r="C6" s="10" t="inlineStr">
        <is>
          <t>BRDB</t>
        </is>
      </c>
      <c r="D6" s="11" t="n">
        <v>715</v>
      </c>
      <c r="E6" s="11" t="n"/>
      <c r="F6" s="11" t="n">
        <v>275</v>
      </c>
      <c r="G6" s="12">
        <f>F6/$D$6</f>
        <v/>
      </c>
      <c r="H6" s="11">
        <f>I6-F6</f>
        <v/>
      </c>
      <c r="I6" s="11" t="n">
        <v>286</v>
      </c>
      <c r="J6" s="12">
        <f>I6/$D$6</f>
        <v/>
      </c>
      <c r="K6" s="11">
        <f>L6-I6</f>
        <v/>
      </c>
      <c r="L6" s="11" t="n">
        <v>283</v>
      </c>
      <c r="M6" s="12">
        <f>L6/$D$6</f>
        <v/>
      </c>
      <c r="N6" s="11">
        <f>O6-L6</f>
        <v/>
      </c>
      <c r="O6" s="11" t="n">
        <v>285</v>
      </c>
      <c r="P6" s="12">
        <f>O6/$D$6</f>
        <v/>
      </c>
      <c r="Q6" s="11">
        <f>R6-O6</f>
        <v/>
      </c>
      <c r="R6" s="11" t="n">
        <v>283</v>
      </c>
      <c r="S6" s="12">
        <f>R6/$D$6</f>
        <v/>
      </c>
      <c r="T6" s="11">
        <f>U6-R6</f>
        <v/>
      </c>
      <c r="U6" s="11" t="n">
        <v>285</v>
      </c>
      <c r="V6" s="12">
        <f>U6/$D$6</f>
        <v/>
      </c>
      <c r="W6" s="11">
        <f>X6-U6</f>
        <v/>
      </c>
      <c r="X6" s="11" t="n">
        <v>291</v>
      </c>
      <c r="Y6" s="12">
        <f>X6/$D$6</f>
        <v/>
      </c>
      <c r="Z6" s="11">
        <f>AA6-X6</f>
        <v/>
      </c>
      <c r="AA6" s="11" t="n">
        <v>293</v>
      </c>
      <c r="AB6" s="12">
        <f>AA6/$D$6</f>
        <v/>
      </c>
      <c r="AC6" s="11">
        <f>AD6-AA6</f>
        <v/>
      </c>
      <c r="AD6" s="11" t="n">
        <v>297</v>
      </c>
      <c r="AE6" s="12">
        <f>AD6/$D$6</f>
        <v/>
      </c>
      <c r="AF6" s="11">
        <f>AG6-AD6</f>
        <v/>
      </c>
      <c r="AG6" s="11" t="n">
        <v>302</v>
      </c>
      <c r="AH6" s="12">
        <f>AG6/$D$6</f>
        <v/>
      </c>
      <c r="AI6" s="13">
        <f>AJ6-AG6</f>
        <v/>
      </c>
      <c r="AJ6" s="13" t="n">
        <v>307</v>
      </c>
      <c r="AK6" s="14">
        <f>AJ6/$D$6</f>
        <v/>
      </c>
      <c r="AL6" s="10" t="inlineStr">
        <is>
          <t>Latest sales - Block A: 191 units, Block B: 116 units</t>
        </is>
      </c>
    </row>
    <row r="7">
      <c r="A7" s="9" t="n">
        <v>2</v>
      </c>
      <c r="B7" s="10" t="inlineStr">
        <is>
          <t>Permas Heights</t>
        </is>
      </c>
      <c r="C7" s="10" t="inlineStr">
        <is>
          <t>MB World</t>
        </is>
      </c>
      <c r="D7" s="11" t="n">
        <v>1950</v>
      </c>
      <c r="E7" s="11" t="n"/>
      <c r="F7" s="11" t="n">
        <v>842</v>
      </c>
      <c r="G7" s="12">
        <f>F7/$D$7</f>
        <v/>
      </c>
      <c r="H7" s="11">
        <f>I7-F7</f>
        <v/>
      </c>
      <c r="I7" s="11" t="n">
        <v>843</v>
      </c>
      <c r="J7" s="12">
        <f>I7/$D$7</f>
        <v/>
      </c>
      <c r="K7" s="11">
        <f>L7-I7</f>
        <v/>
      </c>
      <c r="L7" s="11" t="n">
        <v>853</v>
      </c>
      <c r="M7" s="12">
        <f>L7/$D$7</f>
        <v/>
      </c>
      <c r="N7" s="11">
        <f>O7-L7</f>
        <v/>
      </c>
      <c r="O7" s="11" t="n">
        <v>901</v>
      </c>
      <c r="P7" s="12">
        <f>O7/$D$7</f>
        <v/>
      </c>
      <c r="Q7" s="11">
        <f>R7-O7</f>
        <v/>
      </c>
      <c r="R7" s="11" t="n">
        <v>905</v>
      </c>
      <c r="S7" s="12">
        <f>R7/$D$7</f>
        <v/>
      </c>
      <c r="T7" s="11">
        <f>U7-R7</f>
        <v/>
      </c>
      <c r="U7" s="11" t="n">
        <v>916</v>
      </c>
      <c r="V7" s="12">
        <f>U7/$D$7</f>
        <v/>
      </c>
      <c r="W7" s="11">
        <f>X7-U7</f>
        <v/>
      </c>
      <c r="X7" s="11" t="n">
        <v>925</v>
      </c>
      <c r="Y7" s="12">
        <f>X7/$D$7</f>
        <v/>
      </c>
      <c r="Z7" s="11">
        <f>AA7-X7</f>
        <v/>
      </c>
      <c r="AA7" s="11" t="n">
        <v>935</v>
      </c>
      <c r="AB7" s="12">
        <f>AA7/$D$7</f>
        <v/>
      </c>
      <c r="AC7" s="11">
        <f>AD7-AA7</f>
        <v/>
      </c>
      <c r="AD7" s="11" t="n">
        <v>942</v>
      </c>
      <c r="AE7" s="12">
        <f>AD7/$D$7</f>
        <v/>
      </c>
      <c r="AF7" s="11">
        <f>AG7-AD7</f>
        <v/>
      </c>
      <c r="AG7" s="11" t="n">
        <v>954</v>
      </c>
      <c r="AH7" s="12">
        <f>AG7/$D$7</f>
        <v/>
      </c>
      <c r="AI7" s="13">
        <f>AJ7-AG7</f>
        <v/>
      </c>
      <c r="AJ7" s="13" t="n">
        <v>972</v>
      </c>
      <c r="AK7" s="14">
        <f>AJ7/$D$7</f>
        <v/>
      </c>
      <c r="AL7" s="10" t="inlineStr">
        <is>
          <t>Latest sales - Block A: 400 units, Block B: 376 units, Block C: 87 units, Block D: 109 units</t>
        </is>
      </c>
    </row>
    <row r="8">
      <c r="A8" s="9" t="n">
        <v>3</v>
      </c>
      <c r="B8" s="10" t="inlineStr">
        <is>
          <t>HillView Senibong Cove</t>
        </is>
      </c>
      <c r="C8" s="10" t="inlineStr">
        <is>
          <t>WM Senibong</t>
        </is>
      </c>
      <c r="D8" s="11" t="n">
        <v>1500</v>
      </c>
      <c r="E8" s="11" t="n"/>
      <c r="F8" s="11" t="n">
        <v>34</v>
      </c>
      <c r="G8" s="12">
        <f>F8/$D$8</f>
        <v/>
      </c>
      <c r="H8" s="11">
        <f>I8-F8</f>
        <v/>
      </c>
      <c r="I8" s="11" t="n">
        <v>38</v>
      </c>
      <c r="J8" s="12">
        <f>I8/$D$8</f>
        <v/>
      </c>
      <c r="K8" s="11">
        <f>L8-I8</f>
        <v/>
      </c>
      <c r="L8" s="11" t="n">
        <v>39</v>
      </c>
      <c r="M8" s="12">
        <f>L8/$D$8</f>
        <v/>
      </c>
      <c r="N8" s="11">
        <f>O8-L8</f>
        <v/>
      </c>
      <c r="O8" s="11" t="n">
        <v>42</v>
      </c>
      <c r="P8" s="12">
        <f>O8/$D$8</f>
        <v/>
      </c>
      <c r="Q8" s="11">
        <f>R8-O8</f>
        <v/>
      </c>
      <c r="R8" s="11" t="n">
        <v>45</v>
      </c>
      <c r="S8" s="12">
        <f>R8/$D$8</f>
        <v/>
      </c>
      <c r="T8" s="11">
        <f>U8-R8</f>
        <v/>
      </c>
      <c r="U8" s="11" t="n">
        <v>46</v>
      </c>
      <c r="V8" s="12">
        <f>U8/$D$8</f>
        <v/>
      </c>
      <c r="W8" s="11">
        <f>X8-U8</f>
        <v/>
      </c>
      <c r="X8" s="11" t="n">
        <v>48</v>
      </c>
      <c r="Y8" s="12">
        <f>X8/$D$8</f>
        <v/>
      </c>
      <c r="Z8" s="11">
        <f>AA8-X8</f>
        <v/>
      </c>
      <c r="AA8" s="11" t="n">
        <v>47</v>
      </c>
      <c r="AB8" s="12">
        <f>AA8/$D$8</f>
        <v/>
      </c>
      <c r="AC8" s="11">
        <f>AD8-AA8</f>
        <v/>
      </c>
      <c r="AD8" s="11" t="n">
        <v>47</v>
      </c>
      <c r="AE8" s="12">
        <f>AD8/$D$8</f>
        <v/>
      </c>
      <c r="AF8" s="11">
        <f>AG8-AD8</f>
        <v/>
      </c>
      <c r="AG8" s="11" t="n">
        <v>48</v>
      </c>
      <c r="AH8" s="12">
        <f>AG8/$D$8</f>
        <v/>
      </c>
      <c r="AI8" s="13">
        <f>AJ8-AG8</f>
        <v/>
      </c>
      <c r="AJ8" s="13" t="n">
        <v>49</v>
      </c>
      <c r="AK8" s="14">
        <f>AJ8/$D$8</f>
        <v/>
      </c>
      <c r="AL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0" t="inlineStr">
        <is>
          <t>Parkland</t>
        </is>
      </c>
      <c r="D9" s="11" t="n">
        <v>2156</v>
      </c>
      <c r="E9" s="11" t="n"/>
      <c r="F9" s="11" t="n">
        <v>1010</v>
      </c>
      <c r="G9" s="12">
        <f>F9/$D$9</f>
        <v/>
      </c>
      <c r="H9" s="11">
        <f>I9-F9</f>
        <v/>
      </c>
      <c r="I9" s="11" t="n">
        <v>1012</v>
      </c>
      <c r="J9" s="12">
        <f>I9/$D$9</f>
        <v/>
      </c>
      <c r="K9" s="11">
        <f>L9-I9</f>
        <v/>
      </c>
      <c r="L9" s="11" t="n">
        <v>1018</v>
      </c>
      <c r="M9" s="12">
        <f>L9/$D$9</f>
        <v/>
      </c>
      <c r="N9" s="11">
        <f>O9-L9</f>
        <v/>
      </c>
      <c r="O9" s="11" t="n">
        <v>1033</v>
      </c>
      <c r="P9" s="12">
        <f>O9/$D$9</f>
        <v/>
      </c>
      <c r="Q9" s="11">
        <f>R9-O9</f>
        <v/>
      </c>
      <c r="R9" s="11" t="n">
        <v>1037</v>
      </c>
      <c r="S9" s="12">
        <f>R9/$D$9</f>
        <v/>
      </c>
      <c r="T9" s="11">
        <f>U9-R9</f>
        <v/>
      </c>
      <c r="U9" s="11" t="n">
        <v>1045</v>
      </c>
      <c r="V9" s="12">
        <f>U9/$D$9</f>
        <v/>
      </c>
      <c r="W9" s="11">
        <f>X9-U9</f>
        <v/>
      </c>
      <c r="X9" s="11" t="n">
        <v>1050</v>
      </c>
      <c r="Y9" s="12">
        <f>X9/$D$9</f>
        <v/>
      </c>
      <c r="Z9" s="11">
        <f>AA9-X9</f>
        <v/>
      </c>
      <c r="AA9" s="11" t="n">
        <v>1051</v>
      </c>
      <c r="AB9" s="12">
        <f>AA9/$D$9</f>
        <v/>
      </c>
      <c r="AC9" s="11">
        <f>AD9-AA9</f>
        <v/>
      </c>
      <c r="AD9" s="11" t="n">
        <v>1052</v>
      </c>
      <c r="AE9" s="12">
        <f>AD9/$D$9</f>
        <v/>
      </c>
      <c r="AF9" s="11">
        <f>AG9-AD9</f>
        <v/>
      </c>
      <c r="AG9" s="11" t="n">
        <v>1058</v>
      </c>
      <c r="AH9" s="12">
        <f>AG9/$D$9</f>
        <v/>
      </c>
      <c r="AI9" s="13">
        <f>AJ9-AG9</f>
        <v/>
      </c>
      <c r="AJ9" s="13" t="n">
        <v>1062</v>
      </c>
      <c r="AK9" s="14">
        <f>AJ9/$D$9</f>
        <v/>
      </c>
      <c r="AL9" s="10" t="inlineStr">
        <is>
          <t>Latest sales - Phase 1: 667 units, Phase 2: 395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</row>
    <row r="11">
      <c r="A11" s="9" t="n">
        <v>1</v>
      </c>
      <c r="B11" s="10" t="inlineStr">
        <is>
          <t>The Asteriaz</t>
        </is>
      </c>
      <c r="C11" s="10" t="inlineStr">
        <is>
          <t>Exsim</t>
        </is>
      </c>
      <c r="D11" s="11" t="n">
        <v>848</v>
      </c>
      <c r="E11" s="11" t="n"/>
      <c r="F11" s="11" t="n">
        <v>843</v>
      </c>
      <c r="G11" s="12">
        <f>F11/$D$11</f>
        <v/>
      </c>
      <c r="H11" s="11">
        <f>I11-F11</f>
        <v/>
      </c>
      <c r="I11" s="11" t="n">
        <v>843</v>
      </c>
      <c r="J11" s="12">
        <f>I11/$D$11</f>
        <v/>
      </c>
      <c r="K11" s="11">
        <f>L11-I11</f>
        <v/>
      </c>
      <c r="L11" s="11" t="n">
        <v>843</v>
      </c>
      <c r="M11" s="12">
        <f>L11/$D$11</f>
        <v/>
      </c>
      <c r="N11" s="11">
        <f>O11-L11</f>
        <v/>
      </c>
      <c r="O11" s="11" t="n">
        <v>843</v>
      </c>
      <c r="P11" s="12">
        <f>O11/$D$11</f>
        <v/>
      </c>
      <c r="Q11" s="11">
        <f>R11-O11</f>
        <v/>
      </c>
      <c r="R11" s="11" t="n">
        <v>843</v>
      </c>
      <c r="S11" s="12">
        <f>R11/$D$11</f>
        <v/>
      </c>
      <c r="T11" s="11">
        <f>U11-R11</f>
        <v/>
      </c>
      <c r="U11" s="11" t="n">
        <v>845</v>
      </c>
      <c r="V11" s="12">
        <f>U11/$D$11</f>
        <v/>
      </c>
      <c r="W11" s="11">
        <f>X11-U11</f>
        <v/>
      </c>
      <c r="X11" s="11" t="n">
        <v>845</v>
      </c>
      <c r="Y11" s="12">
        <f>X11/$D$11</f>
        <v/>
      </c>
      <c r="Z11" s="11">
        <f>AA11-X11</f>
        <v/>
      </c>
      <c r="AA11" s="11" t="n">
        <v>845</v>
      </c>
      <c r="AB11" s="12">
        <f>AA11/$D$11</f>
        <v/>
      </c>
      <c r="AC11" s="11">
        <f>AD11-AA11</f>
        <v/>
      </c>
      <c r="AD11" s="11" t="n">
        <v>845</v>
      </c>
      <c r="AE11" s="12">
        <f>AD11/$D$11</f>
        <v/>
      </c>
      <c r="AF11" s="11">
        <f>AG11-AD11</f>
        <v/>
      </c>
      <c r="AG11" s="11" t="n">
        <v>845</v>
      </c>
      <c r="AH11" s="12">
        <f>AG11/$D$11</f>
        <v/>
      </c>
      <c r="AI11" s="13">
        <f>AJ11-AG11</f>
        <v/>
      </c>
      <c r="AJ11" s="13" t="n">
        <v>845</v>
      </c>
      <c r="AK11" s="14">
        <f>AJ11/$D$11</f>
        <v/>
      </c>
      <c r="AL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0" t="inlineStr">
        <is>
          <t>Exsim</t>
        </is>
      </c>
      <c r="D12" s="11" t="n">
        <v>3692</v>
      </c>
      <c r="E12" s="11" t="n"/>
      <c r="F12" s="11" t="n">
        <v>1334</v>
      </c>
      <c r="G12" s="12">
        <f>F12/$D$12</f>
        <v/>
      </c>
      <c r="H12" s="11">
        <f>I12-F12</f>
        <v/>
      </c>
      <c r="I12" s="11" t="n">
        <v>1341</v>
      </c>
      <c r="J12" s="12">
        <f>I12/$D$12</f>
        <v/>
      </c>
      <c r="K12" s="11">
        <f>L12-I12</f>
        <v/>
      </c>
      <c r="L12" s="11" t="n">
        <v>1348</v>
      </c>
      <c r="M12" s="12">
        <f>L12/$D$12</f>
        <v/>
      </c>
      <c r="N12" s="11">
        <f>O12-L12</f>
        <v/>
      </c>
      <c r="O12" s="11" t="n">
        <v>1364</v>
      </c>
      <c r="P12" s="12">
        <f>O12/$D$12</f>
        <v/>
      </c>
      <c r="Q12" s="11">
        <f>R12-O12</f>
        <v/>
      </c>
      <c r="R12" s="11" t="n">
        <v>1372</v>
      </c>
      <c r="S12" s="12">
        <f>R12/$D$12</f>
        <v/>
      </c>
      <c r="T12" s="11">
        <f>U12-R12</f>
        <v/>
      </c>
      <c r="U12" s="11" t="n">
        <v>1391</v>
      </c>
      <c r="V12" s="12">
        <f>U12/$D$12</f>
        <v/>
      </c>
      <c r="W12" s="11">
        <f>X12-U12</f>
        <v/>
      </c>
      <c r="X12" s="11" t="n">
        <v>1403</v>
      </c>
      <c r="Y12" s="12">
        <f>X12/$D$12</f>
        <v/>
      </c>
      <c r="Z12" s="11">
        <f>AA12-X12</f>
        <v/>
      </c>
      <c r="AA12" s="11" t="n">
        <v>1406</v>
      </c>
      <c r="AB12" s="12">
        <f>AA12/$D$12</f>
        <v/>
      </c>
      <c r="AC12" s="11">
        <f>AD12-AA12</f>
        <v/>
      </c>
      <c r="AD12" s="11" t="n">
        <v>1417</v>
      </c>
      <c r="AE12" s="12">
        <f>AD12/$D$12</f>
        <v/>
      </c>
      <c r="AF12" s="11">
        <f>AG12-AD12</f>
        <v/>
      </c>
      <c r="AG12" s="11" t="n">
        <v>1421</v>
      </c>
      <c r="AH12" s="12">
        <f>AG12/$D$12</f>
        <v/>
      </c>
      <c r="AI12" s="13">
        <f>AJ12-AG12</f>
        <v/>
      </c>
      <c r="AJ12" s="13" t="n">
        <v>1497</v>
      </c>
      <c r="AK12" s="14">
        <f>AJ12/$D$12</f>
        <v/>
      </c>
      <c r="AL12" s="10" t="inlineStr">
        <is>
          <t>Open sale for Block A, B &amp; D only. Block C (833 units) is not opened yet. Latest sales - Block A: 493 units, Block B: 531 units, Block D: 473 units</t>
        </is>
      </c>
    </row>
    <row r="13">
      <c r="A13" s="9" t="n">
        <v>3</v>
      </c>
      <c r="B13" s="10" t="inlineStr">
        <is>
          <t>The Address</t>
        </is>
      </c>
      <c r="C13" s="10" t="inlineStr">
        <is>
          <t>Maxim Global</t>
        </is>
      </c>
      <c r="D13" s="11" t="n">
        <v>2743</v>
      </c>
      <c r="E13" s="11" t="n"/>
      <c r="F13" s="11" t="n">
        <v>936</v>
      </c>
      <c r="G13" s="12">
        <f>F13/$D$13</f>
        <v/>
      </c>
      <c r="H13" s="11">
        <f>I13-F13</f>
        <v/>
      </c>
      <c r="I13" s="11" t="n">
        <v>943</v>
      </c>
      <c r="J13" s="12">
        <f>I13/$D$13</f>
        <v/>
      </c>
      <c r="K13" s="11">
        <f>L13-I13</f>
        <v/>
      </c>
      <c r="L13" s="11" t="n">
        <v>949</v>
      </c>
      <c r="M13" s="12">
        <f>L13/$D$13</f>
        <v/>
      </c>
      <c r="N13" s="11">
        <f>O13-L13</f>
        <v/>
      </c>
      <c r="O13" s="11" t="n">
        <v>963</v>
      </c>
      <c r="P13" s="12">
        <f>O13/$D$13</f>
        <v/>
      </c>
      <c r="Q13" s="11">
        <f>R13-O13</f>
        <v/>
      </c>
      <c r="R13" s="11" t="n">
        <v>968</v>
      </c>
      <c r="S13" s="12">
        <f>R13/$D$13</f>
        <v/>
      </c>
      <c r="T13" s="11">
        <f>U13-R13</f>
        <v/>
      </c>
      <c r="U13" s="11" t="n">
        <v>976</v>
      </c>
      <c r="V13" s="12">
        <f>U13/$D$13</f>
        <v/>
      </c>
      <c r="W13" s="11">
        <f>X13-U13</f>
        <v/>
      </c>
      <c r="X13" s="11" t="n">
        <v>989</v>
      </c>
      <c r="Y13" s="12">
        <f>X13/$D$13</f>
        <v/>
      </c>
      <c r="Z13" s="11">
        <f>AA13-X13</f>
        <v/>
      </c>
      <c r="AA13" s="11" t="n">
        <v>990</v>
      </c>
      <c r="AB13" s="12">
        <f>AA13/$D$13</f>
        <v/>
      </c>
      <c r="AC13" s="11">
        <f>AD13-AA13</f>
        <v/>
      </c>
      <c r="AD13" s="11" t="n">
        <v>990</v>
      </c>
      <c r="AE13" s="12">
        <f>AD13/$D$13</f>
        <v/>
      </c>
      <c r="AF13" s="11">
        <f>AG13-AD13</f>
        <v/>
      </c>
      <c r="AG13" s="11" t="n">
        <v>1001</v>
      </c>
      <c r="AH13" s="12">
        <f>AG13/$D$13</f>
        <v/>
      </c>
      <c r="AI13" s="13">
        <f>AJ13-AG13</f>
        <v/>
      </c>
      <c r="AJ13" s="13" t="n">
        <v>1006</v>
      </c>
      <c r="AK13" s="14">
        <f>AJ13/$D$13</f>
        <v/>
      </c>
      <c r="AL13" s="10" t="inlineStr">
        <is>
          <t>Latest sales - Block A: 403 units, Block B: 369 units, Block C: 234 units</t>
        </is>
      </c>
    </row>
    <row r="14">
      <c r="A14" s="9" t="n">
        <v>4</v>
      </c>
      <c r="B14" s="10" t="inlineStr">
        <is>
          <t>M Grand Minori</t>
        </is>
      </c>
      <c r="C14" s="10" t="inlineStr">
        <is>
          <t>Mah Sing</t>
        </is>
      </c>
      <c r="D14" s="11" t="n">
        <v>1733</v>
      </c>
      <c r="E14" s="11" t="n"/>
      <c r="F14" s="11" t="n">
        <v>610</v>
      </c>
      <c r="G14" s="12">
        <f>F14/$D$14</f>
        <v/>
      </c>
      <c r="H14" s="11">
        <f>I14-F14</f>
        <v/>
      </c>
      <c r="I14" s="11" t="n">
        <v>616</v>
      </c>
      <c r="J14" s="12">
        <f>I14/$D$14</f>
        <v/>
      </c>
      <c r="K14" s="11">
        <f>L14-I14</f>
        <v/>
      </c>
      <c r="L14" s="11" t="n">
        <v>637</v>
      </c>
      <c r="M14" s="12">
        <f>L14/$D$14</f>
        <v/>
      </c>
      <c r="N14" s="11">
        <f>O14-L14</f>
        <v/>
      </c>
      <c r="O14" s="11" t="n">
        <v>665</v>
      </c>
      <c r="P14" s="12">
        <f>O14/$D$14</f>
        <v/>
      </c>
      <c r="Q14" s="11">
        <f>R14-O14</f>
        <v/>
      </c>
      <c r="R14" s="11" t="n">
        <v>676</v>
      </c>
      <c r="S14" s="12">
        <f>R14/$D$14</f>
        <v/>
      </c>
      <c r="T14" s="11">
        <f>U14-R14</f>
        <v/>
      </c>
      <c r="U14" s="11" t="n">
        <v>692</v>
      </c>
      <c r="V14" s="12">
        <f>U14/$D$14</f>
        <v/>
      </c>
      <c r="W14" s="11">
        <f>X14-U14</f>
        <v/>
      </c>
      <c r="X14" s="11" t="n">
        <v>714</v>
      </c>
      <c r="Y14" s="12">
        <f>X14/$D$14</f>
        <v/>
      </c>
      <c r="Z14" s="11">
        <f>AA14-X14</f>
        <v/>
      </c>
      <c r="AA14" s="11" t="n">
        <v>724</v>
      </c>
      <c r="AB14" s="12">
        <f>AA14/$D$14</f>
        <v/>
      </c>
      <c r="AC14" s="11">
        <f>AD14-AA14</f>
        <v/>
      </c>
      <c r="AD14" s="11" t="n">
        <v>731</v>
      </c>
      <c r="AE14" s="12">
        <f>AD14/$D$14</f>
        <v/>
      </c>
      <c r="AF14" s="11">
        <f>AG14-AD14</f>
        <v/>
      </c>
      <c r="AG14" s="11" t="n">
        <v>741</v>
      </c>
      <c r="AH14" s="12">
        <f>AG14/$D$14</f>
        <v/>
      </c>
      <c r="AI14" s="13">
        <f>AJ14-AG14</f>
        <v/>
      </c>
      <c r="AJ14" s="13" t="n">
        <v>756</v>
      </c>
      <c r="AK14" s="14">
        <f>AJ14/$D$14</f>
        <v/>
      </c>
      <c r="AL14" s="10" t="inlineStr">
        <is>
          <t>Latest sales - Block A: 499 units, Block B: 257 units</t>
        </is>
      </c>
    </row>
    <row r="15">
      <c r="A15" s="9" t="n">
        <v>5</v>
      </c>
      <c r="B15" s="10" t="inlineStr">
        <is>
          <t>Skyline One</t>
        </is>
      </c>
      <c r="C15" s="10" t="inlineStr">
        <is>
          <t>TS Law</t>
        </is>
      </c>
      <c r="D15" s="11" t="n">
        <v>1623</v>
      </c>
      <c r="E15" s="11" t="n"/>
      <c r="F15" s="11" t="n">
        <v>1351</v>
      </c>
      <c r="G15" s="12">
        <f>F15/$D$15</f>
        <v/>
      </c>
      <c r="H15" s="11">
        <f>I15-F15</f>
        <v/>
      </c>
      <c r="I15" s="11" t="n">
        <v>1354</v>
      </c>
      <c r="J15" s="12">
        <f>I15/$D$15</f>
        <v/>
      </c>
      <c r="K15" s="11">
        <f>L15-I15</f>
        <v/>
      </c>
      <c r="L15" s="11" t="n">
        <v>1356</v>
      </c>
      <c r="M15" s="12">
        <f>L15/$D$15</f>
        <v/>
      </c>
      <c r="N15" s="11">
        <f>O15-L15</f>
        <v/>
      </c>
      <c r="O15" s="11" t="n">
        <v>1372</v>
      </c>
      <c r="P15" s="12">
        <f>O15/$D$15</f>
        <v/>
      </c>
      <c r="Q15" s="11">
        <f>R15-O15</f>
        <v/>
      </c>
      <c r="R15" s="11" t="n">
        <v>1376</v>
      </c>
      <c r="S15" s="12">
        <f>R15/$D$15</f>
        <v/>
      </c>
      <c r="T15" s="11">
        <f>U15-R15</f>
        <v/>
      </c>
      <c r="U15" s="11" t="n">
        <v>1381</v>
      </c>
      <c r="V15" s="12">
        <f>U15/$D$15</f>
        <v/>
      </c>
      <c r="W15" s="11">
        <f>X15-U15</f>
        <v/>
      </c>
      <c r="X15" s="11" t="n">
        <v>1387</v>
      </c>
      <c r="Y15" s="12">
        <f>X15/$D$15</f>
        <v/>
      </c>
      <c r="Z15" s="11">
        <f>AA15-X15</f>
        <v/>
      </c>
      <c r="AA15" s="11" t="n">
        <v>1389</v>
      </c>
      <c r="AB15" s="12">
        <f>AA15/$D$15</f>
        <v/>
      </c>
      <c r="AC15" s="11">
        <f>AD15-AA15</f>
        <v/>
      </c>
      <c r="AD15" s="11" t="n">
        <v>1391</v>
      </c>
      <c r="AE15" s="12">
        <f>AD15/$D$15</f>
        <v/>
      </c>
      <c r="AF15" s="11">
        <f>AG15-AD15</f>
        <v/>
      </c>
      <c r="AG15" s="11" t="n">
        <v>1394</v>
      </c>
      <c r="AH15" s="12">
        <f>AG15/$D$15</f>
        <v/>
      </c>
      <c r="AI15" s="13">
        <f>AJ15-AG15</f>
        <v/>
      </c>
      <c r="AJ15" s="13" t="n">
        <v>1396</v>
      </c>
      <c r="AK15" s="14">
        <f>AJ15/$D$15</f>
        <v/>
      </c>
      <c r="AL15" s="10" t="inlineStr">
        <is>
          <t>Latest sales - Block A: 728 units, Block B: 668 units</t>
        </is>
      </c>
    </row>
    <row r="16">
      <c r="A16" s="9" t="n">
        <v>6</v>
      </c>
      <c r="B16" s="10" t="inlineStr">
        <is>
          <t>Gen Sphere</t>
        </is>
      </c>
      <c r="C16" s="10" t="inlineStr">
        <is>
          <t>Majestic Gen</t>
        </is>
      </c>
      <c r="D16" s="11" t="n">
        <v>996</v>
      </c>
      <c r="E16" s="11" t="n"/>
      <c r="F16" s="11" t="n">
        <v>873</v>
      </c>
      <c r="G16" s="12">
        <f>F16/$D$16</f>
        <v/>
      </c>
      <c r="H16" s="11">
        <f>I16-F16</f>
        <v/>
      </c>
      <c r="I16" s="11" t="n">
        <v>877</v>
      </c>
      <c r="J16" s="12">
        <f>I16/$D$16</f>
        <v/>
      </c>
      <c r="K16" s="11">
        <f>L16-I16</f>
        <v/>
      </c>
      <c r="L16" s="11" t="n">
        <v>881</v>
      </c>
      <c r="M16" s="12">
        <f>L16/$D$16</f>
        <v/>
      </c>
      <c r="N16" s="11">
        <f>O16-L16</f>
        <v/>
      </c>
      <c r="O16" s="11" t="n">
        <v>887</v>
      </c>
      <c r="P16" s="12">
        <f>O16/$D$16</f>
        <v/>
      </c>
      <c r="Q16" s="11">
        <f>R16-O16</f>
        <v/>
      </c>
      <c r="R16" s="11" t="n">
        <v>888</v>
      </c>
      <c r="S16" s="12">
        <f>R16/$D$16</f>
        <v/>
      </c>
      <c r="T16" s="11">
        <f>U16-R16</f>
        <v/>
      </c>
      <c r="U16" s="11" t="n">
        <v>890</v>
      </c>
      <c r="V16" s="12">
        <f>U16/$D$16</f>
        <v/>
      </c>
      <c r="W16" s="11">
        <f>X16-U16</f>
        <v/>
      </c>
      <c r="X16" s="11" t="n">
        <v>898</v>
      </c>
      <c r="Y16" s="12">
        <f>X16/$D$16</f>
        <v/>
      </c>
      <c r="Z16" s="11">
        <f>AA16-X16</f>
        <v/>
      </c>
      <c r="AA16" s="11" t="n">
        <v>898</v>
      </c>
      <c r="AB16" s="12">
        <f>AA16/$D$16</f>
        <v/>
      </c>
      <c r="AC16" s="11">
        <f>AD16-AA16</f>
        <v/>
      </c>
      <c r="AD16" s="11" t="n">
        <v>902</v>
      </c>
      <c r="AE16" s="12">
        <f>AD16/$D$16</f>
        <v/>
      </c>
      <c r="AF16" s="11">
        <f>AG16-AD16</f>
        <v/>
      </c>
      <c r="AG16" s="11" t="n">
        <v>906</v>
      </c>
      <c r="AH16" s="12">
        <f>AG16/$D$16</f>
        <v/>
      </c>
      <c r="AI16" s="13">
        <f>AJ16-AG16</f>
        <v/>
      </c>
      <c r="AJ16" s="13" t="n">
        <v>908</v>
      </c>
      <c r="AK16" s="14">
        <f>AJ16/$D$16</f>
        <v/>
      </c>
      <c r="AL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0" t="inlineStr">
        <is>
          <t>Chin Hin</t>
        </is>
      </c>
      <c r="D17" s="11" t="n">
        <v>1116</v>
      </c>
      <c r="E17" s="11" t="n"/>
      <c r="F17" s="11" t="n">
        <v>0</v>
      </c>
      <c r="G17" s="12">
        <f>F17/$D$17</f>
        <v/>
      </c>
      <c r="H17" s="11">
        <f>I17-F17</f>
        <v/>
      </c>
      <c r="I17" s="11" t="n">
        <v>0</v>
      </c>
      <c r="J17" s="12">
        <f>I17/$D$17</f>
        <v/>
      </c>
      <c r="K17" s="11">
        <f>L17-I17</f>
        <v/>
      </c>
      <c r="L17" s="11" t="n">
        <v>0</v>
      </c>
      <c r="M17" s="12">
        <f>L17/$D$17</f>
        <v/>
      </c>
      <c r="N17" s="11">
        <f>O17-L17</f>
        <v/>
      </c>
      <c r="O17" s="11" t="n">
        <v>0</v>
      </c>
      <c r="P17" s="12">
        <f>O17/$D$17</f>
        <v/>
      </c>
      <c r="Q17" s="11">
        <f>R17-O17</f>
        <v/>
      </c>
      <c r="R17" s="11" t="n">
        <v>0</v>
      </c>
      <c r="S17" s="12">
        <f>R17/$D$17</f>
        <v/>
      </c>
      <c r="T17" s="11">
        <f>U17-R17</f>
        <v/>
      </c>
      <c r="U17" s="11" t="n">
        <v>0</v>
      </c>
      <c r="V17" s="12">
        <f>U17/$D$17</f>
        <v/>
      </c>
      <c r="W17" s="11">
        <f>X17-U17</f>
        <v/>
      </c>
      <c r="X17" s="11" t="n">
        <v>0</v>
      </c>
      <c r="Y17" s="12">
        <f>X17/$D$17</f>
        <v/>
      </c>
      <c r="Z17" s="11">
        <f>AA17-X17</f>
        <v/>
      </c>
      <c r="AA17" s="11" t="n">
        <v>0</v>
      </c>
      <c r="AB17" s="12">
        <f>AA17/$D$17</f>
        <v/>
      </c>
      <c r="AC17" s="11" t="n"/>
      <c r="AD17" s="11" t="n"/>
      <c r="AE17" s="12" t="n"/>
      <c r="AF17" s="11" t="n"/>
      <c r="AG17" s="11" t="n"/>
      <c r="AH17" s="12" t="n"/>
      <c r="AI17" s="13" t="n"/>
      <c r="AJ17" s="13" t="n"/>
      <c r="AK17" s="14" t="n"/>
      <c r="AL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0" t="inlineStr">
        <is>
          <t>Chin Hin</t>
        </is>
      </c>
      <c r="D18" s="11" t="n">
        <v>824</v>
      </c>
      <c r="E18" s="11" t="n"/>
      <c r="F18" s="11" t="n">
        <v>684</v>
      </c>
      <c r="G18" s="12">
        <f>F18/$D$18</f>
        <v/>
      </c>
      <c r="H18" s="11">
        <f>I18-F18</f>
        <v/>
      </c>
      <c r="I18" s="11" t="n">
        <v>682</v>
      </c>
      <c r="J18" s="12">
        <f>I18/$D$18</f>
        <v/>
      </c>
      <c r="K18" s="11">
        <f>L18-I18</f>
        <v/>
      </c>
      <c r="L18" s="11" t="n">
        <v>685</v>
      </c>
      <c r="M18" s="12">
        <f>L18/$D$18</f>
        <v/>
      </c>
      <c r="N18" s="11">
        <f>O18-L18</f>
        <v/>
      </c>
      <c r="O18" s="11" t="n">
        <v>692</v>
      </c>
      <c r="P18" s="12">
        <f>O18/$D$18</f>
        <v/>
      </c>
      <c r="Q18" s="11">
        <f>R18-O18</f>
        <v/>
      </c>
      <c r="R18" s="11" t="n">
        <v>698</v>
      </c>
      <c r="S18" s="12">
        <f>R18/$D$18</f>
        <v/>
      </c>
      <c r="T18" s="11">
        <f>U18-R18</f>
        <v/>
      </c>
      <c r="U18" s="11" t="n">
        <v>700</v>
      </c>
      <c r="V18" s="12">
        <f>U18/$D$18</f>
        <v/>
      </c>
      <c r="W18" s="11">
        <f>X18-U18</f>
        <v/>
      </c>
      <c r="X18" s="11" t="n">
        <v>707</v>
      </c>
      <c r="Y18" s="12">
        <f>X18/$D$18</f>
        <v/>
      </c>
      <c r="Z18" s="11">
        <f>AA18-X18</f>
        <v/>
      </c>
      <c r="AA18" s="11" t="n">
        <v>710</v>
      </c>
      <c r="AB18" s="12">
        <f>AA18/$D$18</f>
        <v/>
      </c>
      <c r="AC18" s="11">
        <f>AD18-AA18</f>
        <v/>
      </c>
      <c r="AD18" s="11" t="n">
        <v>714</v>
      </c>
      <c r="AE18" s="12">
        <f>AD18/$D$18</f>
        <v/>
      </c>
      <c r="AF18" s="11">
        <f>AG18-AD18</f>
        <v/>
      </c>
      <c r="AG18" s="11" t="n">
        <v>720</v>
      </c>
      <c r="AH18" s="12">
        <f>AG18/$D$18</f>
        <v/>
      </c>
      <c r="AI18" s="13">
        <f>AJ18-AG18</f>
        <v/>
      </c>
      <c r="AJ18" s="13" t="n">
        <v>725</v>
      </c>
      <c r="AK18" s="14">
        <f>AJ18/$D$18</f>
        <v/>
      </c>
      <c r="AL18" s="10" t="inlineStr">
        <is>
          <t>Latest sales - Block A: 439 units, Block B: 286 units</t>
        </is>
      </c>
    </row>
    <row r="19">
      <c r="A19" s="9" t="n">
        <v>9</v>
      </c>
      <c r="B19" s="10" t="inlineStr">
        <is>
          <t>Sunway Majestic</t>
        </is>
      </c>
      <c r="C19" s="10" t="inlineStr">
        <is>
          <t>Sunway/Majestic Gen</t>
        </is>
      </c>
      <c r="D19" s="11" t="n">
        <v>1012</v>
      </c>
      <c r="E19" s="11" t="n"/>
      <c r="F19" s="11" t="n">
        <v>358</v>
      </c>
      <c r="G19" s="12">
        <f>F19/$D$19</f>
        <v/>
      </c>
      <c r="H19" s="11">
        <f>I19-F19</f>
        <v/>
      </c>
      <c r="I19" s="11" t="n">
        <v>365</v>
      </c>
      <c r="J19" s="12">
        <f>I19/$D$19</f>
        <v/>
      </c>
      <c r="K19" s="11">
        <f>L19-I19</f>
        <v/>
      </c>
      <c r="L19" s="11" t="n">
        <v>365</v>
      </c>
      <c r="M19" s="12">
        <f>L19/$D$19</f>
        <v/>
      </c>
      <c r="N19" s="11">
        <f>O19-L19</f>
        <v/>
      </c>
      <c r="O19" s="11" t="n">
        <v>370</v>
      </c>
      <c r="P19" s="12">
        <f>O19/$D$19</f>
        <v/>
      </c>
      <c r="Q19" s="11">
        <f>R19-O19</f>
        <v/>
      </c>
      <c r="R19" s="11" t="n">
        <v>370</v>
      </c>
      <c r="S19" s="12">
        <f>R19/$D$19</f>
        <v/>
      </c>
      <c r="T19" s="11">
        <f>U19-R19</f>
        <v/>
      </c>
      <c r="U19" s="11" t="n">
        <v>373</v>
      </c>
      <c r="V19" s="12">
        <f>U19/$D$19</f>
        <v/>
      </c>
      <c r="W19" s="11">
        <f>X19-U19</f>
        <v/>
      </c>
      <c r="X19" s="11" t="n">
        <v>380</v>
      </c>
      <c r="Y19" s="12">
        <f>X19/$D$19</f>
        <v/>
      </c>
      <c r="Z19" s="11">
        <f>AA19-X19</f>
        <v/>
      </c>
      <c r="AA19" s="11" t="n">
        <v>382</v>
      </c>
      <c r="AB19" s="12">
        <f>AA19/$D$19</f>
        <v/>
      </c>
      <c r="AC19" s="11">
        <f>AD19-AA19</f>
        <v/>
      </c>
      <c r="AD19" s="11" t="n">
        <v>385</v>
      </c>
      <c r="AE19" s="12">
        <f>AD19/$D$19</f>
        <v/>
      </c>
      <c r="AF19" s="11">
        <f>AG19-AD19</f>
        <v/>
      </c>
      <c r="AG19" s="11" t="n">
        <v>390</v>
      </c>
      <c r="AH19" s="12">
        <f>AG19/$D$19</f>
        <v/>
      </c>
      <c r="AI19" s="13">
        <f>AJ19-AG19</f>
        <v/>
      </c>
      <c r="AJ19" s="13" t="n">
        <v>390</v>
      </c>
      <c r="AK19" s="14">
        <f>AJ19/$D$19</f>
        <v/>
      </c>
      <c r="AL19" s="10" t="inlineStr">
        <is>
          <t>Latest sales - Block A: 297 units, Block B: 93 units</t>
        </is>
      </c>
    </row>
    <row r="20">
      <c r="A20" s="9" t="n">
        <v>10</v>
      </c>
      <c r="B20" s="10" t="inlineStr">
        <is>
          <t>Calia</t>
        </is>
      </c>
      <c r="C20" s="10" t="inlineStr">
        <is>
          <t>PGB</t>
        </is>
      </c>
      <c r="D20" s="11" t="n">
        <v>1274</v>
      </c>
      <c r="E20" s="11" t="n"/>
      <c r="F20" s="11" t="n">
        <v>249</v>
      </c>
      <c r="G20" s="12">
        <f>F20/$D$20</f>
        <v/>
      </c>
      <c r="H20" s="11">
        <f>I20-F20</f>
        <v/>
      </c>
      <c r="I20" s="11" t="n">
        <v>251</v>
      </c>
      <c r="J20" s="12">
        <f>I20/$D$20</f>
        <v/>
      </c>
      <c r="K20" s="11">
        <f>L20-I20</f>
        <v/>
      </c>
      <c r="L20" s="11" t="n">
        <v>251</v>
      </c>
      <c r="M20" s="12">
        <f>L20/$D$20</f>
        <v/>
      </c>
      <c r="N20" s="11">
        <f>O20-L20</f>
        <v/>
      </c>
      <c r="O20" s="11" t="n">
        <v>266</v>
      </c>
      <c r="P20" s="12">
        <f>O20/$D$20</f>
        <v/>
      </c>
      <c r="Q20" s="11">
        <f>R20-O20</f>
        <v/>
      </c>
      <c r="R20" s="11" t="n">
        <v>270</v>
      </c>
      <c r="S20" s="12">
        <f>R20/$D$20</f>
        <v/>
      </c>
      <c r="T20" s="11">
        <f>U20-R20</f>
        <v/>
      </c>
      <c r="U20" s="11" t="n">
        <v>275</v>
      </c>
      <c r="V20" s="12">
        <f>U20/$D$20</f>
        <v/>
      </c>
      <c r="W20" s="11">
        <f>X20-U20</f>
        <v/>
      </c>
      <c r="X20" s="11" t="n">
        <v>281</v>
      </c>
      <c r="Y20" s="12">
        <f>X20/$D$20</f>
        <v/>
      </c>
      <c r="Z20" s="11">
        <f>AA20-X20</f>
        <v/>
      </c>
      <c r="AA20" s="11" t="n">
        <v>284</v>
      </c>
      <c r="AB20" s="12">
        <f>AA20/$D$20</f>
        <v/>
      </c>
      <c r="AC20" s="11">
        <f>AD20-AA20</f>
        <v/>
      </c>
      <c r="AD20" s="11" t="n">
        <v>291</v>
      </c>
      <c r="AE20" s="12">
        <f>AD20/$D$20</f>
        <v/>
      </c>
      <c r="AF20" s="11">
        <f>AG20-AD20</f>
        <v/>
      </c>
      <c r="AG20" s="11" t="n">
        <v>296</v>
      </c>
      <c r="AH20" s="12">
        <f>AG20/$D$20</f>
        <v/>
      </c>
      <c r="AI20" s="13">
        <f>AJ20-AG20</f>
        <v/>
      </c>
      <c r="AJ20" s="13" t="n">
        <v>306</v>
      </c>
      <c r="AK20" s="14">
        <f>AJ20/$D$20</f>
        <v/>
      </c>
      <c r="AL20" s="10" t="inlineStr">
        <is>
          <t>Latest sales - Block A: 215 units, Block B: 91 units</t>
        </is>
      </c>
    </row>
  </sheetData>
  <mergeCells count="11">
    <mergeCell ref="W3:Y3"/>
    <mergeCell ref="AI3:AK3"/>
    <mergeCell ref="T3:V3"/>
    <mergeCell ref="AC3:AE3"/>
    <mergeCell ref="AF3:AH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2026-08-30T23:20:16Z</dcterms:created>
  <dcterms:modified xsi:type="dcterms:W3CDTF">2026-08-30T23:20:16Z</dcterms:modified>
</cp:coreProperties>
</file>