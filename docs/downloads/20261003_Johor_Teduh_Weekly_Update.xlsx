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B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46" customWidth="1" min="54" max="54"/>
  </cols>
  <sheetData>
    <row r="2">
      <c r="A2" s="1" t="inlineStr">
        <is>
          <t>Report as at 03/10/2026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3" t="n">
        <v>46290</v>
      </c>
      <c r="AY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5" t="inlineStr">
        <is>
          <t>NEW SALES</t>
        </is>
      </c>
      <c r="AW4" s="5" t="inlineStr">
        <is>
          <t>TOTAL SOLD</t>
        </is>
      </c>
      <c r="AX4" s="5" t="inlineStr">
        <is>
          <t>TOTAL %</t>
        </is>
      </c>
      <c r="AY4" s="6" t="inlineStr">
        <is>
          <t>NEW SALES</t>
        </is>
      </c>
      <c r="AZ4" s="6" t="inlineStr">
        <is>
          <t>TOTAL SOLD</t>
        </is>
      </c>
      <c r="BA4" s="6" t="inlineStr">
        <is>
          <t>TOTAL %</t>
        </is>
      </c>
      <c r="BB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2">
        <f>AW6-AT6</f>
        <v/>
      </c>
      <c r="AW6" s="12" t="n">
        <v>321</v>
      </c>
      <c r="AX6" s="13">
        <f>AW6/$D$6</f>
        <v/>
      </c>
      <c r="AY6" s="14">
        <f>AZ6-AW6</f>
        <v/>
      </c>
      <c r="AZ6" s="14" t="n">
        <v>328</v>
      </c>
      <c r="BA6" s="15">
        <f>AZ6/$D$6</f>
        <v/>
      </c>
      <c r="BB6" s="10" t="inlineStr">
        <is>
          <t>Latest sales - Block A: 196 units, Block B: 132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2">
        <f>AW7-AT7</f>
        <v/>
      </c>
      <c r="AW7" s="12" t="n">
        <v>1007</v>
      </c>
      <c r="AX7" s="13">
        <f>AW7/$D$7</f>
        <v/>
      </c>
      <c r="AY7" s="14">
        <f>AZ7-AW7</f>
        <v/>
      </c>
      <c r="AZ7" s="14" t="n">
        <v>1017</v>
      </c>
      <c r="BA7" s="15">
        <f>AZ7/$D$7</f>
        <v/>
      </c>
      <c r="BB7" s="10" t="inlineStr">
        <is>
          <t>Latest sales - Block A: 417 units, Block B: 394 units, Block C: 92 units, Block D: 114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2">
        <f>AW8-AT8</f>
        <v/>
      </c>
      <c r="AW8" s="12" t="n">
        <v>54</v>
      </c>
      <c r="AX8" s="13">
        <f>AW8/$D$8</f>
        <v/>
      </c>
      <c r="AY8" s="14">
        <f>AZ8-AW8</f>
        <v/>
      </c>
      <c r="AZ8" s="14" t="n">
        <v>55</v>
      </c>
      <c r="BA8" s="15">
        <f>AZ8/$D$8</f>
        <v/>
      </c>
      <c r="BB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2">
        <f>AW9-AT9</f>
        <v/>
      </c>
      <c r="AW9" s="12" t="n">
        <v>1086</v>
      </c>
      <c r="AX9" s="13">
        <f>AW9/$D$9</f>
        <v/>
      </c>
      <c r="AY9" s="14">
        <f>AZ9-AW9</f>
        <v/>
      </c>
      <c r="AZ9" s="14" t="n">
        <v>1091</v>
      </c>
      <c r="BA9" s="15">
        <f>AZ9/$D$9</f>
        <v/>
      </c>
      <c r="BB9" s="10" t="inlineStr">
        <is>
          <t>Latest sales - Phase 1: 671 units, Phase 2: 420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2">
        <f>AW11-AT11</f>
        <v/>
      </c>
      <c r="AW11" s="12" t="n">
        <v>845</v>
      </c>
      <c r="AX11" s="13">
        <f>AW11/$D$11</f>
        <v/>
      </c>
      <c r="AY11" s="14">
        <f>AZ11-AW11</f>
        <v/>
      </c>
      <c r="AZ11" s="14" t="n">
        <v>844</v>
      </c>
      <c r="BA11" s="15">
        <f>AZ11/$D$11</f>
        <v/>
      </c>
      <c r="BB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2">
        <f>AW12-AT12</f>
        <v/>
      </c>
      <c r="AW12" s="12" t="n">
        <v>1559</v>
      </c>
      <c r="AX12" s="13">
        <f>AW12/$D$12</f>
        <v/>
      </c>
      <c r="AY12" s="14">
        <f>AZ12-AW12</f>
        <v/>
      </c>
      <c r="AZ12" s="14" t="n">
        <v>1569</v>
      </c>
      <c r="BA12" s="15">
        <f>AZ12/$D$12</f>
        <v/>
      </c>
      <c r="BB12" s="10" t="inlineStr">
        <is>
          <t>Open sale for Block A, B &amp; D only. Block C (833 units) is not opened yet. Latest sales - Block A: 533 units, Block B: 541 units, Block D: 495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2">
        <f>AW13-AT13</f>
        <v/>
      </c>
      <c r="AW13" s="12" t="n">
        <v>1045</v>
      </c>
      <c r="AX13" s="13">
        <f>AW13/$D$13</f>
        <v/>
      </c>
      <c r="AY13" s="14">
        <f>AZ13-AW13</f>
        <v/>
      </c>
      <c r="AZ13" s="14" t="n">
        <v>1064</v>
      </c>
      <c r="BA13" s="15">
        <f>AZ13/$D$13</f>
        <v/>
      </c>
      <c r="BB13" s="10" t="inlineStr">
        <is>
          <t>Latest sales - Block A: 412 units, Block B: 384 units, Block C: 268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2">
        <f>AW14-AT14</f>
        <v/>
      </c>
      <c r="AW14" s="12" t="n">
        <v>797</v>
      </c>
      <c r="AX14" s="13">
        <f>AW14/$D$14</f>
        <v/>
      </c>
      <c r="AY14" s="14">
        <f>AZ14-AW14</f>
        <v/>
      </c>
      <c r="AZ14" s="14" t="n">
        <v>813</v>
      </c>
      <c r="BA14" s="15">
        <f>AZ14/$D$14</f>
        <v/>
      </c>
      <c r="BB14" s="10" t="inlineStr">
        <is>
          <t>Latest sales - Block A: 526 units, Block B: 287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2">
        <f>AW15-AT15</f>
        <v/>
      </c>
      <c r="AW15" s="12" t="n">
        <v>1409</v>
      </c>
      <c r="AX15" s="13">
        <f>AW15/$D$15</f>
        <v/>
      </c>
      <c r="AY15" s="14">
        <f>AZ15-AW15</f>
        <v/>
      </c>
      <c r="AZ15" s="14" t="n">
        <v>1415</v>
      </c>
      <c r="BA15" s="15">
        <f>AZ15/$D$15</f>
        <v/>
      </c>
      <c r="BB15" s="10" t="inlineStr">
        <is>
          <t>Latest sales - Block A: 732 units, Block B: 683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2">
        <f>AW16-AT16</f>
        <v/>
      </c>
      <c r="AW16" s="12" t="n">
        <v>917</v>
      </c>
      <c r="AX16" s="13">
        <f>AW16/$D$16</f>
        <v/>
      </c>
      <c r="AY16" s="14">
        <f>AZ16-AW16</f>
        <v/>
      </c>
      <c r="AZ16" s="14" t="n">
        <v>922</v>
      </c>
      <c r="BA16" s="15">
        <f>AZ16/$D$16</f>
        <v/>
      </c>
      <c r="BB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2" t="n"/>
      <c r="AW17" s="12" t="n"/>
      <c r="AX17" s="13" t="n"/>
      <c r="AY17" s="14" t="n"/>
      <c r="AZ17" s="14" t="n"/>
      <c r="BA17" s="15" t="n"/>
      <c r="BB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2">
        <f>AW18-AT18</f>
        <v/>
      </c>
      <c r="AW18" s="12" t="n">
        <v>742</v>
      </c>
      <c r="AX18" s="13">
        <f>AW18/$D$18</f>
        <v/>
      </c>
      <c r="AY18" s="14">
        <f>AZ18-AW18</f>
        <v/>
      </c>
      <c r="AZ18" s="14" t="n">
        <v>745</v>
      </c>
      <c r="BA18" s="15">
        <f>AZ18/$D$18</f>
        <v/>
      </c>
      <c r="BB18" s="10" t="inlineStr">
        <is>
          <t>Latest sales - Block A: 455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2">
        <f>AW19-AT19</f>
        <v/>
      </c>
      <c r="AW19" s="12" t="n">
        <v>402</v>
      </c>
      <c r="AX19" s="13">
        <f>AW19/$D$19</f>
        <v/>
      </c>
      <c r="AY19" s="14">
        <f>AZ19-AW19</f>
        <v/>
      </c>
      <c r="AZ19" s="14" t="n">
        <v>407</v>
      </c>
      <c r="BA19" s="15">
        <f>AZ19/$D$19</f>
        <v/>
      </c>
      <c r="BB19" s="10" t="inlineStr">
        <is>
          <t>Latest sales - Block A: 301 units, Block B: 106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2">
        <f>AW20-AT20</f>
        <v/>
      </c>
      <c r="AW20" s="12" t="n">
        <v>331</v>
      </c>
      <c r="AX20" s="13">
        <f>AW20/$D$20</f>
        <v/>
      </c>
      <c r="AY20" s="14">
        <f>AZ20-AW20</f>
        <v/>
      </c>
      <c r="AZ20" s="14" t="n">
        <v>333</v>
      </c>
      <c r="BA20" s="15">
        <f>AZ20/$D$20</f>
        <v/>
      </c>
      <c r="BB20" s="10" t="inlineStr">
        <is>
          <t>Latest sales - Block A: 227 units, Block B: 106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2">
        <f>AW21-AT21</f>
        <v/>
      </c>
      <c r="AW21" s="12" t="n">
        <v>0</v>
      </c>
      <c r="AX21" s="13">
        <f>AW21/$D$21</f>
        <v/>
      </c>
      <c r="AY21" s="14">
        <f>AZ21-AW21</f>
        <v/>
      </c>
      <c r="AZ21" s="14" t="n">
        <v>0</v>
      </c>
      <c r="BA21" s="15">
        <f>AZ21/$D$21</f>
        <v/>
      </c>
      <c r="BB21" s="10" t="inlineStr"/>
    </row>
  </sheetData>
  <mergeCells count="16">
    <mergeCell ref="AY3:BA3"/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2026-10-03T08:33:32Z</dcterms:created>
  <dcterms:modified xsi:type="dcterms:W3CDTF">2026-10-03T08:33:32Z</dcterms:modified>
</cp:coreProperties>
</file>