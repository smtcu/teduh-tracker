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Y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46" customWidth="1" min="51" max="51"/>
  </cols>
  <sheetData>
    <row r="2">
      <c r="A2" s="1" t="inlineStr">
        <is>
          <t>Report as at 28/09/2026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3" t="n">
        <v>46283</v>
      </c>
      <c r="AV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5" t="inlineStr">
        <is>
          <t>NEW SALES</t>
        </is>
      </c>
      <c r="AT4" s="5" t="inlineStr">
        <is>
          <t>TOTAL SOLD</t>
        </is>
      </c>
      <c r="AU4" s="5" t="inlineStr">
        <is>
          <t>TOTAL %</t>
        </is>
      </c>
      <c r="AV4" s="6" t="inlineStr">
        <is>
          <t>NEW SALES</t>
        </is>
      </c>
      <c r="AW4" s="6" t="inlineStr">
        <is>
          <t>TOTAL SOLD</t>
        </is>
      </c>
      <c r="AX4" s="6" t="inlineStr">
        <is>
          <t>TOTAL %</t>
        </is>
      </c>
      <c r="AY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2">
        <f>AT6-AQ6</f>
        <v/>
      </c>
      <c r="AT6" s="12" t="n">
        <v>317</v>
      </c>
      <c r="AU6" s="13">
        <f>AT6/$D$6</f>
        <v/>
      </c>
      <c r="AV6" s="14">
        <f>AW6-AT6</f>
        <v/>
      </c>
      <c r="AW6" s="14" t="n">
        <v>321</v>
      </c>
      <c r="AX6" s="15">
        <f>AW6/$D$6</f>
        <v/>
      </c>
      <c r="AY6" s="10" t="inlineStr">
        <is>
          <t>Latest sales - Block A: 195 units, Block B: 126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2">
        <f>AT7-AQ7</f>
        <v/>
      </c>
      <c r="AT7" s="12" t="n">
        <v>993</v>
      </c>
      <c r="AU7" s="13">
        <f>AT7/$D$7</f>
        <v/>
      </c>
      <c r="AV7" s="14">
        <f>AW7-AT7</f>
        <v/>
      </c>
      <c r="AW7" s="14" t="n">
        <v>1007</v>
      </c>
      <c r="AX7" s="15">
        <f>AW7/$D$7</f>
        <v/>
      </c>
      <c r="AY7" s="10" t="inlineStr">
        <is>
          <t>Latest sales - Block A: 415 units, Block B: 391 units, Block C: 91 units, Block D: 110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2">
        <f>AT8-AQ8</f>
        <v/>
      </c>
      <c r="AT8" s="12" t="n">
        <v>53</v>
      </c>
      <c r="AU8" s="13">
        <f>AT8/$D$8</f>
        <v/>
      </c>
      <c r="AV8" s="14">
        <f>AW8-AT8</f>
        <v/>
      </c>
      <c r="AW8" s="14" t="n">
        <v>54</v>
      </c>
      <c r="AX8" s="15">
        <f>AW8/$D$8</f>
        <v/>
      </c>
      <c r="AY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2">
        <f>AT9-AQ9</f>
        <v/>
      </c>
      <c r="AT9" s="12" t="n">
        <v>1076</v>
      </c>
      <c r="AU9" s="13">
        <f>AT9/$D$9</f>
        <v/>
      </c>
      <c r="AV9" s="14">
        <f>AW9-AT9</f>
        <v/>
      </c>
      <c r="AW9" s="14" t="n">
        <v>1086</v>
      </c>
      <c r="AX9" s="15">
        <f>AW9/$D$9</f>
        <v/>
      </c>
      <c r="AY9" s="10" t="inlineStr">
        <is>
          <t>Latest sales - Phase 1: 671 units, Phase 2: 415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2">
        <f>AT11-AQ11</f>
        <v/>
      </c>
      <c r="AT11" s="12" t="n">
        <v>845</v>
      </c>
      <c r="AU11" s="13">
        <f>AT11/$D$11</f>
        <v/>
      </c>
      <c r="AV11" s="14">
        <f>AW11-AT11</f>
        <v/>
      </c>
      <c r="AW11" s="14" t="n">
        <v>845</v>
      </c>
      <c r="AX11" s="15">
        <f>AW11/$D$11</f>
        <v/>
      </c>
      <c r="AY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2">
        <f>AT12-AQ12</f>
        <v/>
      </c>
      <c r="AT12" s="12" t="n">
        <v>1542</v>
      </c>
      <c r="AU12" s="13">
        <f>AT12/$D$12</f>
        <v/>
      </c>
      <c r="AV12" s="14">
        <f>AW12-AT12</f>
        <v/>
      </c>
      <c r="AW12" s="14" t="n">
        <v>1559</v>
      </c>
      <c r="AX12" s="15">
        <f>AW12/$D$12</f>
        <v/>
      </c>
      <c r="AY12" s="10" t="inlineStr">
        <is>
          <t>Open sale for Block A, B &amp; D only. Block C (833 units) is not opened yet. Latest sales - Block A: 527 units, Block B: 538 units, Block D: 494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2">
        <f>AT13-AQ13</f>
        <v/>
      </c>
      <c r="AT13" s="12" t="n">
        <v>1031</v>
      </c>
      <c r="AU13" s="13">
        <f>AT13/$D$13</f>
        <v/>
      </c>
      <c r="AV13" s="14">
        <f>AW13-AT13</f>
        <v/>
      </c>
      <c r="AW13" s="14" t="n">
        <v>1045</v>
      </c>
      <c r="AX13" s="15">
        <f>AW13/$D$13</f>
        <v/>
      </c>
      <c r="AY13" s="10" t="inlineStr">
        <is>
          <t>Latest sales - Block A: 408 units, Block B: 380 units, Block C: 257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2">
        <f>AT14-AQ14</f>
        <v/>
      </c>
      <c r="AT14" s="12" t="n">
        <v>785</v>
      </c>
      <c r="AU14" s="13">
        <f>AT14/$D$14</f>
        <v/>
      </c>
      <c r="AV14" s="14">
        <f>AW14-AT14</f>
        <v/>
      </c>
      <c r="AW14" s="14" t="n">
        <v>797</v>
      </c>
      <c r="AX14" s="15">
        <f>AW14/$D$14</f>
        <v/>
      </c>
      <c r="AY14" s="10" t="inlineStr">
        <is>
          <t>Latest sales - Block A: 516 units, Block B: 281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2">
        <f>AT15-AQ15</f>
        <v/>
      </c>
      <c r="AT15" s="12" t="n">
        <v>1404</v>
      </c>
      <c r="AU15" s="13">
        <f>AT15/$D$15</f>
        <v/>
      </c>
      <c r="AV15" s="14">
        <f>AW15-AT15</f>
        <v/>
      </c>
      <c r="AW15" s="14" t="n">
        <v>1409</v>
      </c>
      <c r="AX15" s="15">
        <f>AW15/$D$15</f>
        <v/>
      </c>
      <c r="AY15" s="10" t="inlineStr">
        <is>
          <t>Latest sales - Block A: 731 units, Block B: 678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2">
        <f>AT16-AQ16</f>
        <v/>
      </c>
      <c r="AT16" s="12" t="n">
        <v>916</v>
      </c>
      <c r="AU16" s="13">
        <f>AT16/$D$16</f>
        <v/>
      </c>
      <c r="AV16" s="14">
        <f>AW16-AT16</f>
        <v/>
      </c>
      <c r="AW16" s="14" t="n">
        <v>917</v>
      </c>
      <c r="AX16" s="15">
        <f>AW16/$D$16</f>
        <v/>
      </c>
      <c r="AY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2" t="n"/>
      <c r="AT17" s="12" t="n"/>
      <c r="AU17" s="13" t="n"/>
      <c r="AV17" s="14" t="n"/>
      <c r="AW17" s="14" t="n"/>
      <c r="AX17" s="15" t="n"/>
      <c r="AY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2">
        <f>AT18-AQ18</f>
        <v/>
      </c>
      <c r="AT18" s="12" t="n">
        <v>735</v>
      </c>
      <c r="AU18" s="13">
        <f>AT18/$D$18</f>
        <v/>
      </c>
      <c r="AV18" s="14">
        <f>AW18-AT18</f>
        <v/>
      </c>
      <c r="AW18" s="14" t="n">
        <v>742</v>
      </c>
      <c r="AX18" s="15">
        <f>AW18/$D$18</f>
        <v/>
      </c>
      <c r="AY18" s="10" t="inlineStr">
        <is>
          <t>Latest sales - Block A: 452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2">
        <f>AT19-AQ19</f>
        <v/>
      </c>
      <c r="AT19" s="12" t="n">
        <v>397</v>
      </c>
      <c r="AU19" s="13">
        <f>AT19/$D$19</f>
        <v/>
      </c>
      <c r="AV19" s="14">
        <f>AW19-AT19</f>
        <v/>
      </c>
      <c r="AW19" s="14" t="n">
        <v>402</v>
      </c>
      <c r="AX19" s="15">
        <f>AW19/$D$19</f>
        <v/>
      </c>
      <c r="AY19" s="10" t="inlineStr">
        <is>
          <t>Latest sales - Block A: 301 units, Block B: 101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2">
        <f>AT20-AQ20</f>
        <v/>
      </c>
      <c r="AT20" s="12" t="n">
        <v>325</v>
      </c>
      <c r="AU20" s="13">
        <f>AT20/$D$20</f>
        <v/>
      </c>
      <c r="AV20" s="14">
        <f>AW20-AT20</f>
        <v/>
      </c>
      <c r="AW20" s="14" t="n">
        <v>331</v>
      </c>
      <c r="AX20" s="15">
        <f>AW20/$D$20</f>
        <v/>
      </c>
      <c r="AY20" s="10" t="inlineStr">
        <is>
          <t>Latest sales - Block A: 227 units, Block B: 104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2">
        <f>AT21-AQ21</f>
        <v/>
      </c>
      <c r="AT21" s="12" t="n">
        <v>0</v>
      </c>
      <c r="AU21" s="13">
        <f>AT21/$D$21</f>
        <v/>
      </c>
      <c r="AV21" s="14">
        <f>AW21-AT21</f>
        <v/>
      </c>
      <c r="AW21" s="14" t="n">
        <v>0</v>
      </c>
      <c r="AX21" s="15">
        <f>AW21/$D$21</f>
        <v/>
      </c>
      <c r="AY21" s="10" t="inlineStr"/>
    </row>
  </sheetData>
  <mergeCells count="15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  <mergeCell ref="AV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2026-09-28T23:48:56Z</dcterms:created>
  <dcterms:modified xsi:type="dcterms:W3CDTF">2026-09-28T23:48:56Z</dcterms:modified>
</cp:coreProperties>
</file>