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46" customWidth="1" min="8" max="8"/>
  </cols>
  <sheetData>
    <row r="2">
      <c r="A2" s="1" t="inlineStr">
        <is>
          <t>Report as at 26/08/2026</t>
        </is>
      </c>
    </row>
    <row r="3">
      <c r="A3" s="2" t="inlineStr">
        <is>
          <t>WEEKLY TEDUH SALES REPORT (UKAY PROJECTS)</t>
        </is>
      </c>
      <c r="E3" s="3" t="n">
        <v>46255</v>
      </c>
    </row>
    <row r="4" ht="30" customHeight="1">
      <c r="A4" s="4" t="inlineStr">
        <is>
          <t>NO</t>
        </is>
      </c>
      <c r="B4" s="4" t="inlineStr">
        <is>
          <t>PROJECT</t>
        </is>
      </c>
      <c r="C4" s="4" t="inlineStr">
        <is>
          <t>DEVELOPER</t>
        </is>
      </c>
      <c r="D4" s="4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4" t="inlineStr">
        <is>
          <t>NOTES</t>
        </is>
      </c>
    </row>
    <row r="5">
      <c r="A5" s="6" t="n">
        <v>1</v>
      </c>
      <c r="B5" s="7" t="inlineStr">
        <is>
          <t>DaMai</t>
        </is>
      </c>
      <c r="C5" s="7" t="inlineStr">
        <is>
          <t>SDB Properties Sdn Bhd</t>
        </is>
      </c>
      <c r="D5" s="8" t="n">
        <v>306</v>
      </c>
      <c r="E5" s="9" t="n"/>
      <c r="F5" s="9" t="n">
        <v>95</v>
      </c>
      <c r="G5" s="10">
        <f>F5/$D$5</f>
        <v/>
      </c>
      <c r="H5" s="7" t="inlineStr"/>
    </row>
    <row r="6">
      <c r="A6" s="6" t="n">
        <v>2</v>
      </c>
      <c r="B6" s="7" t="inlineStr">
        <is>
          <t>Trinity Sensoria</t>
        </is>
      </c>
      <c r="C6" s="7" t="inlineStr">
        <is>
          <t>Trinity Group (Trinity Wellnessa &amp; Enlivea Dev S/B)</t>
        </is>
      </c>
      <c r="D6" s="8" t="n">
        <v>737</v>
      </c>
      <c r="E6" s="9" t="n"/>
      <c r="F6" s="9" t="n">
        <v>343</v>
      </c>
      <c r="G6" s="10">
        <f>F6/$D$6</f>
        <v/>
      </c>
      <c r="H6" s="7" t="inlineStr"/>
    </row>
    <row r="7">
      <c r="A7" s="6" t="n">
        <v>3</v>
      </c>
      <c r="B7" s="7" t="inlineStr">
        <is>
          <t>Ukay Spring</t>
        </is>
      </c>
      <c r="C7" s="7" t="inlineStr">
        <is>
          <t>Malton Berhad (Gapadu Harta S/B)</t>
        </is>
      </c>
      <c r="D7" s="8" t="n">
        <v>142</v>
      </c>
      <c r="E7" s="9" t="n"/>
      <c r="F7" s="9" t="n"/>
      <c r="G7" s="10" t="n"/>
      <c r="H7" s="7" t="inlineStr">
        <is>
          <t>No TEDUH code</t>
        </is>
      </c>
    </row>
    <row r="8">
      <c r="A8" s="6" t="n">
        <v>4</v>
      </c>
      <c r="B8" s="7" t="inlineStr">
        <is>
          <t>Chin Hin Ulu Kelang</t>
        </is>
      </c>
      <c r="C8" s="7" t="inlineStr">
        <is>
          <t>Chin Hin Property (Melawati) S/B</t>
        </is>
      </c>
      <c r="D8" s="8" t="n">
        <v>1449</v>
      </c>
      <c r="E8" s="9" t="n"/>
      <c r="F8" s="9" t="n"/>
      <c r="G8" s="10" t="n"/>
      <c r="H8" s="7" t="inlineStr">
        <is>
          <t>No TEDUH code</t>
        </is>
      </c>
    </row>
    <row r="9">
      <c r="A9" s="6" t="n">
        <v>5</v>
      </c>
      <c r="B9" s="7" t="inlineStr">
        <is>
          <t>LEA By The Hills</t>
        </is>
      </c>
      <c r="C9" s="7" t="inlineStr">
        <is>
          <t>OSK Property (Jelang Vista S/B)</t>
        </is>
      </c>
      <c r="D9" s="8" t="n">
        <v>344</v>
      </c>
      <c r="E9" s="9" t="n"/>
      <c r="F9" s="9" t="n">
        <v>343</v>
      </c>
      <c r="G9" s="10">
        <f>F9/$D$9</f>
        <v/>
      </c>
      <c r="H9" s="7" t="inlineStr"/>
    </row>
    <row r="10">
      <c r="A10" s="6" t="n">
        <v>6</v>
      </c>
      <c r="B10" s="7" t="inlineStr">
        <is>
          <t>Park One Residence</t>
        </is>
      </c>
      <c r="C10" s="7" t="inlineStr">
        <is>
          <t>Sime Darby Property (KL East) S/B</t>
        </is>
      </c>
      <c r="D10" s="8" t="n">
        <v>234</v>
      </c>
      <c r="E10" s="9" t="n"/>
      <c r="F10" s="9" t="n">
        <v>228</v>
      </c>
      <c r="G10" s="10">
        <f>F10/$D$10</f>
        <v/>
      </c>
      <c r="H10" s="7" t="inlineStr"/>
    </row>
    <row r="11">
      <c r="A11" s="6" t="n">
        <v>7</v>
      </c>
      <c r="B11" s="7" t="inlineStr">
        <is>
          <t>Sierra Hijauan</t>
        </is>
      </c>
      <c r="C11" s="7" t="inlineStr">
        <is>
          <t>IJM Land (Sierra Ukay S/B)</t>
        </is>
      </c>
      <c r="D11" s="8" t="n">
        <v>310</v>
      </c>
      <c r="E11" s="9" t="n"/>
      <c r="F11" s="9" t="n">
        <v>273</v>
      </c>
      <c r="G11" s="10">
        <f>F11/$D$11</f>
        <v/>
      </c>
      <c r="H11" s="7" t="inlineStr"/>
    </row>
    <row r="12">
      <c r="A12" s="6" t="n">
        <v>8</v>
      </c>
      <c r="B12" s="7" t="inlineStr">
        <is>
          <t>Embun @ Kemensah</t>
        </is>
      </c>
      <c r="C12" s="7" t="inlineStr">
        <is>
          <t>Titijaya Land Bhd (Aman Kemensah S/B)</t>
        </is>
      </c>
      <c r="D12" s="8" t="n">
        <v>51</v>
      </c>
      <c r="E12" s="9" t="n"/>
      <c r="F12" s="9" t="n">
        <v>32</v>
      </c>
      <c r="G12" s="10">
        <f>F12/$D$12</f>
        <v/>
      </c>
      <c r="H12" s="7" t="inlineStr">
        <is>
          <t>Emery not found on TEDUH</t>
        </is>
      </c>
    </row>
    <row r="13">
      <c r="A13" s="6" t="n">
        <v>9</v>
      </c>
      <c r="B13" s="7" t="inlineStr">
        <is>
          <t>Tijani Ukay Ampang</t>
        </is>
      </c>
      <c r="C13" s="7" t="inlineStr">
        <is>
          <t>Symphony Life Bhd (Ketapang Realty S/B)</t>
        </is>
      </c>
      <c r="D13" s="8" t="n">
        <v>118</v>
      </c>
      <c r="E13" s="9" t="n"/>
      <c r="F13" s="9" t="n">
        <v>74</v>
      </c>
      <c r="G13" s="10">
        <f>F13/$D$13</f>
        <v/>
      </c>
      <c r="H13" s="7" t="inlineStr"/>
    </row>
    <row r="14">
      <c r="A14" s="6" t="n">
        <v>10</v>
      </c>
      <c r="B14" s="7" t="inlineStr">
        <is>
          <t>19Trees</t>
        </is>
      </c>
      <c r="C14" s="7" t="inlineStr">
        <is>
          <t>SDB Properties Sdn Bhd</t>
        </is>
      </c>
      <c r="D14" s="8" t="n">
        <v>222</v>
      </c>
      <c r="E14" s="9" t="n"/>
      <c r="F14" s="9" t="n">
        <v>222</v>
      </c>
      <c r="G14" s="10">
        <f>F14/$D$14</f>
        <v/>
      </c>
      <c r="H14" s="7" t="inlineStr"/>
    </row>
    <row r="15">
      <c r="A15" s="6" t="n">
        <v>11</v>
      </c>
      <c r="B15" s="7" t="inlineStr">
        <is>
          <t>20Trees</t>
        </is>
      </c>
      <c r="C15" s="7" t="inlineStr">
        <is>
          <t>SDB Properties Sdn Bhd</t>
        </is>
      </c>
      <c r="D15" s="8" t="n">
        <v>201</v>
      </c>
      <c r="E15" s="9" t="n"/>
      <c r="F15" s="9" t="n">
        <v>0</v>
      </c>
      <c r="G15" s="10">
        <f>F15/$D$15</f>
        <v/>
      </c>
      <c r="H15" s="7" t="inlineStr">
        <is>
          <t>No unit found on TEDUH</t>
        </is>
      </c>
    </row>
    <row r="16">
      <c r="A16" s="6" t="n">
        <v>12</v>
      </c>
      <c r="B16" s="7" t="inlineStr">
        <is>
          <t>Nadayu 63</t>
        </is>
      </c>
      <c r="C16" s="7" t="inlineStr">
        <is>
          <t>Nadayu Properties (Twin Ridge S/B)</t>
        </is>
      </c>
      <c r="D16" s="8" t="n">
        <v>296</v>
      </c>
      <c r="E16" s="9" t="n"/>
      <c r="F16" s="9" t="n">
        <v>197</v>
      </c>
      <c r="G16" s="10">
        <f>F16/$D$16</f>
        <v/>
      </c>
      <c r="H16" s="7" t="inlineStr"/>
    </row>
    <row r="17">
      <c r="A17" s="6" t="n">
        <v>13</v>
      </c>
      <c r="B17" s="7" t="inlineStr">
        <is>
          <t>16 Quartz @ Taman Melawati</t>
        </is>
      </c>
      <c r="C17" s="7" t="inlineStr">
        <is>
          <t>Mitraland (Mitraland Melawati S/B)</t>
        </is>
      </c>
      <c r="D17" s="8" t="n">
        <v>117</v>
      </c>
      <c r="E17" s="9" t="n"/>
      <c r="F17" s="9" t="n">
        <v>81</v>
      </c>
      <c r="G17" s="10">
        <f>F17/$D$17</f>
        <v/>
      </c>
      <c r="H17" s="7" t="inlineStr"/>
    </row>
    <row r="18">
      <c r="A18" s="6" t="n">
        <v>14</v>
      </c>
      <c r="B18" s="7" t="inlineStr">
        <is>
          <t>Trinity Wellnessa</t>
        </is>
      </c>
      <c r="C18" s="7" t="inlineStr">
        <is>
          <t>Trinity Group (Trinity Wellnessa &amp; Enlivea Dev S/B)</t>
        </is>
      </c>
      <c r="D18" s="8" t="n">
        <v>463</v>
      </c>
      <c r="E18" s="9" t="n"/>
      <c r="F18" s="9" t="n">
        <v>456</v>
      </c>
      <c r="G18" s="10">
        <f>F18/$D$18</f>
        <v/>
      </c>
      <c r="H18" s="7" t="inlineStr"/>
    </row>
    <row r="19">
      <c r="A19" s="6" t="n">
        <v>15</v>
      </c>
      <c r="B19" s="7" t="inlineStr">
        <is>
          <t>Nassim Heights</t>
        </is>
      </c>
      <c r="C19" s="7" t="inlineStr">
        <is>
          <t>Newfield Holding (Nassim Development S/B)</t>
        </is>
      </c>
      <c r="D19" s="8" t="n">
        <v>106</v>
      </c>
      <c r="E19" s="9" t="n"/>
      <c r="F19" s="9" t="n">
        <v>104</v>
      </c>
      <c r="G19" s="10">
        <f>F19/$D$19</f>
        <v/>
      </c>
      <c r="H19" s="7" t="inlineStr"/>
    </row>
    <row r="20">
      <c r="A20" s="6" t="n">
        <v>16</v>
      </c>
      <c r="B20" s="7" t="inlineStr">
        <is>
          <t>Kelab Ukay Residence</t>
        </is>
      </c>
      <c r="C20" s="7" t="inlineStr">
        <is>
          <t>Sri Datai / Strong Heritage S/B</t>
        </is>
      </c>
      <c r="D20" s="8" t="n">
        <v>15</v>
      </c>
      <c r="E20" s="9" t="n"/>
      <c r="F20" s="9" t="n">
        <v>11</v>
      </c>
      <c r="G20" s="10">
        <f>F20/$D$20</f>
        <v/>
      </c>
      <c r="H20" s="7" t="inlineStr"/>
    </row>
    <row r="21">
      <c r="A21" s="6" t="n">
        <v>17</v>
      </c>
      <c r="B21" s="7" t="inlineStr">
        <is>
          <t>Villaria</t>
        </is>
      </c>
      <c r="C21" s="7" t="inlineStr"/>
      <c r="D21" s="8" t="n">
        <v>0</v>
      </c>
      <c r="E21" s="9" t="n"/>
      <c r="F21" s="9" t="n"/>
      <c r="G21" s="10" t="n"/>
      <c r="H21" s="7" t="inlineStr">
        <is>
          <t>No TEDUH code</t>
        </is>
      </c>
    </row>
  </sheetData>
  <mergeCells count="1">
    <mergeCell ref="E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2026-08-26T11:24:49Z</dcterms:created>
  <dcterms:modified xsi:type="dcterms:W3CDTF">2026-08-26T11:24:49Z</dcterms:modified>
</cp:coreProperties>
</file>