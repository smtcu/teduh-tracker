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46" customWidth="1" min="18" max="18"/>
  </cols>
  <sheetData>
    <row r="2">
      <c r="A2" s="1" t="inlineStr">
        <is>
          <t>Report as at 12/09/2026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6" t="inlineStr">
        <is>
          <t>NEW SALES</t>
        </is>
      </c>
      <c r="P4" s="6" t="inlineStr">
        <is>
          <t>TOTAL SOLD</t>
        </is>
      </c>
      <c r="Q4" s="6" t="inlineStr">
        <is>
          <t>TOTAL %</t>
        </is>
      </c>
      <c r="R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2">
        <f>P5-M5</f>
        <v/>
      </c>
      <c r="P5" s="12" t="n">
        <v>94</v>
      </c>
      <c r="Q5" s="13">
        <f>P5/$D$5</f>
        <v/>
      </c>
      <c r="R5" s="8" t="inlineStr">
        <is>
          <t>Latest sales - Block A: 53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2">
        <f>P6-M6</f>
        <v/>
      </c>
      <c r="P6" s="12" t="n">
        <v>348</v>
      </c>
      <c r="Q6" s="13">
        <f>P6/$D$6</f>
        <v/>
      </c>
      <c r="R6" s="8" t="inlineStr">
        <is>
          <t>Latest sales - Block A1: 45 units, Block A2: 203 units, Block B: 100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2" t="n"/>
      <c r="P7" s="12" t="n"/>
      <c r="Q7" s="13" t="n"/>
      <c r="R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2" t="n"/>
      <c r="P8" s="12" t="n"/>
      <c r="Q8" s="13" t="n"/>
      <c r="R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2">
        <f>P9-M9</f>
        <v/>
      </c>
      <c r="P9" s="12" t="n">
        <v>343</v>
      </c>
      <c r="Q9" s="13">
        <f>P9/$D$9</f>
        <v/>
      </c>
      <c r="R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2">
        <f>P10-M10</f>
        <v/>
      </c>
      <c r="P10" s="12" t="n">
        <v>228</v>
      </c>
      <c r="Q10" s="13">
        <f>P10/$D$10</f>
        <v/>
      </c>
      <c r="R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2">
        <f>P11-M11</f>
        <v/>
      </c>
      <c r="P11" s="12" t="n">
        <v>273</v>
      </c>
      <c r="Q11" s="13">
        <f>P11/$D$11</f>
        <v/>
      </c>
      <c r="R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2">
        <f>P12-M12</f>
        <v/>
      </c>
      <c r="P12" s="12" t="n">
        <v>32</v>
      </c>
      <c r="Q12" s="13">
        <f>P12/$D$12</f>
        <v/>
      </c>
      <c r="R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2">
        <f>P13-M13</f>
        <v/>
      </c>
      <c r="P13" s="12" t="n">
        <v>7</v>
      </c>
      <c r="Q13" s="13">
        <f>P13/$D$13</f>
        <v/>
      </c>
      <c r="R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2">
        <f>P14-M14</f>
        <v/>
      </c>
      <c r="P14" s="12" t="n">
        <v>74</v>
      </c>
      <c r="Q14" s="13">
        <f>P14/$D$14</f>
        <v/>
      </c>
      <c r="R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2">
        <f>P15-M15</f>
        <v/>
      </c>
      <c r="P15" s="12" t="n">
        <v>222</v>
      </c>
      <c r="Q15" s="13">
        <f>P15/$D$15</f>
        <v/>
      </c>
      <c r="R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2">
        <f>P16-M16</f>
        <v/>
      </c>
      <c r="P16" s="12" t="n">
        <v>0</v>
      </c>
      <c r="Q16" s="13">
        <f>P16/$D$16</f>
        <v/>
      </c>
      <c r="R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2">
        <f>P17-M17</f>
        <v/>
      </c>
      <c r="P17" s="12" t="n">
        <v>197</v>
      </c>
      <c r="Q17" s="13">
        <f>P17/$D$17</f>
        <v/>
      </c>
      <c r="R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2">
        <f>P18-M18</f>
        <v/>
      </c>
      <c r="P18" s="12" t="n">
        <v>81</v>
      </c>
      <c r="Q18" s="13">
        <f>P18/$D$18</f>
        <v/>
      </c>
      <c r="R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2">
        <f>P19-M19</f>
        <v/>
      </c>
      <c r="P19" s="12" t="n">
        <v>456</v>
      </c>
      <c r="Q19" s="13">
        <f>P19/$D$19</f>
        <v/>
      </c>
      <c r="R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2">
        <f>P20-M20</f>
        <v/>
      </c>
      <c r="P20" s="12" t="n">
        <v>104</v>
      </c>
      <c r="Q20" s="13">
        <f>P20/$D$20</f>
        <v/>
      </c>
      <c r="R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2">
        <f>P21-M21</f>
        <v/>
      </c>
      <c r="P21" s="12" t="n">
        <v>11</v>
      </c>
      <c r="Q21" s="13">
        <f>P21/$D$21</f>
        <v/>
      </c>
      <c r="R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2" t="n"/>
      <c r="P22" s="12" t="n"/>
      <c r="Q22" s="13" t="n"/>
      <c r="R22" s="8" t="inlineStr">
        <is>
          <t>No TEDUH code</t>
        </is>
      </c>
    </row>
  </sheetData>
  <mergeCells count="4"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2026-09-12T00:14:15Z</dcterms:created>
  <dcterms:modified xsi:type="dcterms:W3CDTF">2026-09-12T00:14:15Z</dcterms:modified>
</cp:coreProperties>
</file>