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46" customWidth="1" min="15" max="15"/>
  </cols>
  <sheetData>
    <row r="2">
      <c r="A2" s="1" t="inlineStr">
        <is>
          <t>Report as at 04/09/2026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6" t="inlineStr">
        <is>
          <t>NEW SALES</t>
        </is>
      </c>
      <c r="M4" s="6" t="inlineStr">
        <is>
          <t>TOTAL SOLD</t>
        </is>
      </c>
      <c r="N4" s="6" t="inlineStr">
        <is>
          <t>TOTAL %</t>
        </is>
      </c>
      <c r="O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2">
        <f>M5-J5</f>
        <v/>
      </c>
      <c r="M5" s="12" t="n">
        <v>93</v>
      </c>
      <c r="N5" s="13">
        <f>M5/$D$5</f>
        <v/>
      </c>
      <c r="O5" s="8" t="inlineStr">
        <is>
          <t>Latest sales - Block A: 53 units, Block B: 40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2">
        <f>M6-J6</f>
        <v/>
      </c>
      <c r="M6" s="12" t="n">
        <v>348</v>
      </c>
      <c r="N6" s="13">
        <f>M6/$D$6</f>
        <v/>
      </c>
      <c r="O6" s="8" t="inlineStr">
        <is>
          <t>Latest sales - Block A1: 45 units, Block A2: 203 units, Block B: 100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2" t="n"/>
      <c r="M7" s="12" t="n"/>
      <c r="N7" s="13" t="n"/>
      <c r="O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2" t="n"/>
      <c r="M8" s="12" t="n"/>
      <c r="N8" s="13" t="n"/>
      <c r="O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2">
        <f>M9-J9</f>
        <v/>
      </c>
      <c r="M9" s="12" t="n">
        <v>343</v>
      </c>
      <c r="N9" s="13">
        <f>M9/$D$9</f>
        <v/>
      </c>
      <c r="O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2">
        <f>M10-J10</f>
        <v/>
      </c>
      <c r="M10" s="12" t="n">
        <v>228</v>
      </c>
      <c r="N10" s="13">
        <f>M10/$D$10</f>
        <v/>
      </c>
      <c r="O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2">
        <f>M11-J11</f>
        <v/>
      </c>
      <c r="M11" s="12" t="n">
        <v>273</v>
      </c>
      <c r="N11" s="13">
        <f>M11/$D$11</f>
        <v/>
      </c>
      <c r="O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2">
        <f>M12-J12</f>
        <v/>
      </c>
      <c r="M12" s="12" t="n">
        <v>32</v>
      </c>
      <c r="N12" s="13">
        <f>M12/$D$12</f>
        <v/>
      </c>
      <c r="O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2" t="n"/>
      <c r="M13" s="12" t="n">
        <v>7</v>
      </c>
      <c r="N13" s="13">
        <f>M13/$D$13</f>
        <v/>
      </c>
      <c r="O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2">
        <f>M14-J14</f>
        <v/>
      </c>
      <c r="M14" s="12" t="n">
        <v>74</v>
      </c>
      <c r="N14" s="13">
        <f>M14/$D$14</f>
        <v/>
      </c>
      <c r="O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2">
        <f>M15-J15</f>
        <v/>
      </c>
      <c r="M15" s="12" t="n">
        <v>222</v>
      </c>
      <c r="N15" s="13">
        <f>M15/$D$15</f>
        <v/>
      </c>
      <c r="O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2">
        <f>M16-J16</f>
        <v/>
      </c>
      <c r="M16" s="12" t="n">
        <v>0</v>
      </c>
      <c r="N16" s="13">
        <f>M16/$D$16</f>
        <v/>
      </c>
      <c r="O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2">
        <f>M17-J17</f>
        <v/>
      </c>
      <c r="M17" s="12" t="n">
        <v>197</v>
      </c>
      <c r="N17" s="13">
        <f>M17/$D$17</f>
        <v/>
      </c>
      <c r="O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2">
        <f>M18-J18</f>
        <v/>
      </c>
      <c r="M18" s="12" t="n">
        <v>81</v>
      </c>
      <c r="N18" s="13">
        <f>M18/$D$18</f>
        <v/>
      </c>
      <c r="O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2">
        <f>M19-J19</f>
        <v/>
      </c>
      <c r="M19" s="12" t="n">
        <v>456</v>
      </c>
      <c r="N19" s="13">
        <f>M19/$D$19</f>
        <v/>
      </c>
      <c r="O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2">
        <f>M20-J20</f>
        <v/>
      </c>
      <c r="M20" s="12" t="n">
        <v>104</v>
      </c>
      <c r="N20" s="13">
        <f>M20/$D$20</f>
        <v/>
      </c>
      <c r="O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2">
        <f>M21-J21</f>
        <v/>
      </c>
      <c r="M21" s="12" t="n">
        <v>11</v>
      </c>
      <c r="N21" s="13">
        <f>M21/$D$21</f>
        <v/>
      </c>
      <c r="O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2" t="n"/>
      <c r="M22" s="12" t="n"/>
      <c r="N22" s="13" t="n"/>
      <c r="O22" s="8" t="inlineStr">
        <is>
          <t>No TEDUH code</t>
        </is>
      </c>
    </row>
  </sheetData>
  <mergeCells count="3">
    <mergeCell ref="I3:K3"/>
    <mergeCell ref="F3:H3"/>
    <mergeCell ref="L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2026-09-04T08:19:45Z</dcterms:created>
  <dcterms:modified xsi:type="dcterms:W3CDTF">2026-09-04T08:19:45Z</dcterms:modified>
</cp:coreProperties>
</file>