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9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46" customWidth="1" min="11" max="11"/>
  </cols>
  <sheetData>
    <row r="2">
      <c r="A2" s="1" t="inlineStr">
        <is>
          <t>Report as at 29/08/2026</t>
        </is>
      </c>
    </row>
    <row r="3">
      <c r="A3" s="2" t="inlineStr">
        <is>
          <t>WEEKLY TEDUH SALES REPORT (UKAY PROJECTS)</t>
        </is>
      </c>
      <c r="E3" s="3" t="n">
        <v>46255</v>
      </c>
      <c r="H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6" t="inlineStr">
        <is>
          <t>NEW SALES</t>
        </is>
      </c>
      <c r="I4" s="6" t="inlineStr">
        <is>
          <t>TOTAL SOLD</t>
        </is>
      </c>
      <c r="J4" s="6" t="inlineStr">
        <is>
          <t>TOTAL %</t>
        </is>
      </c>
      <c r="K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8" t="inlineStr">
        <is>
          <t>SDB Properties Sdn Bhd</t>
        </is>
      </c>
      <c r="D5" s="9" t="n">
        <v>306</v>
      </c>
      <c r="E5" s="9" t="n"/>
      <c r="F5" s="9" t="n">
        <v>95</v>
      </c>
      <c r="G5" s="10">
        <f>F5/$D$5</f>
        <v/>
      </c>
      <c r="H5" s="11">
        <f>I5-F5</f>
        <v/>
      </c>
      <c r="I5" s="11" t="n">
        <v>94</v>
      </c>
      <c r="J5" s="12">
        <f>I5/$D$5</f>
        <v/>
      </c>
      <c r="K5" s="8" t="inlineStr">
        <is>
          <t>Latest sales - Block A: 54 units, Block B: 40 units</t>
        </is>
      </c>
    </row>
    <row r="6">
      <c r="A6" s="7" t="n">
        <v>2</v>
      </c>
      <c r="B6" s="8" t="inlineStr">
        <is>
          <t>Trinity Sensoria</t>
        </is>
      </c>
      <c r="C6" s="8" t="inlineStr">
        <is>
          <t>Trinity Group (Trinity Wellnessa &amp; Enlivea Dev S/B)</t>
        </is>
      </c>
      <c r="D6" s="9" t="n">
        <v>737</v>
      </c>
      <c r="E6" s="9" t="n"/>
      <c r="F6" s="9" t="n">
        <v>343</v>
      </c>
      <c r="G6" s="10">
        <f>F6/$D$6</f>
        <v/>
      </c>
      <c r="H6" s="11">
        <f>I6-F6</f>
        <v/>
      </c>
      <c r="I6" s="11" t="n">
        <v>347</v>
      </c>
      <c r="J6" s="12">
        <f>I6/$D$6</f>
        <v/>
      </c>
      <c r="K6" s="8" t="inlineStr">
        <is>
          <t>Latest sales - Block A1: 45 units, Block A2: 202 units, Block B: 100 units</t>
        </is>
      </c>
    </row>
    <row r="7">
      <c r="A7" s="7" t="n">
        <v>3</v>
      </c>
      <c r="B7" s="8" t="inlineStr">
        <is>
          <t>Ukay Spring</t>
        </is>
      </c>
      <c r="C7" s="8" t="inlineStr">
        <is>
          <t>Malton Berhad (Gapadu Harta S/B)</t>
        </is>
      </c>
      <c r="D7" s="9" t="n">
        <v>142</v>
      </c>
      <c r="E7" s="9" t="n"/>
      <c r="F7" s="9" t="n"/>
      <c r="G7" s="10" t="n"/>
      <c r="H7" s="11" t="n"/>
      <c r="I7" s="11" t="n"/>
      <c r="J7" s="12" t="n"/>
      <c r="K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8" t="inlineStr">
        <is>
          <t>Chin Hin Property (Melawati) S/B</t>
        </is>
      </c>
      <c r="D8" s="9" t="n">
        <v>1449</v>
      </c>
      <c r="E8" s="9" t="n"/>
      <c r="F8" s="9" t="n"/>
      <c r="G8" s="10" t="n"/>
      <c r="H8" s="11" t="n"/>
      <c r="I8" s="11" t="n"/>
      <c r="J8" s="12" t="n"/>
      <c r="K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8" t="inlineStr">
        <is>
          <t>OSK Property (Jelang Vista S/B)</t>
        </is>
      </c>
      <c r="D9" s="9" t="n">
        <v>344</v>
      </c>
      <c r="E9" s="9" t="n"/>
      <c r="F9" s="9" t="n">
        <v>343</v>
      </c>
      <c r="G9" s="10">
        <f>F9/$D$9</f>
        <v/>
      </c>
      <c r="H9" s="11">
        <f>I9-F9</f>
        <v/>
      </c>
      <c r="I9" s="11" t="n">
        <v>343</v>
      </c>
      <c r="J9" s="12">
        <f>I9/$D$9</f>
        <v/>
      </c>
      <c r="K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8" t="inlineStr">
        <is>
          <t>Sime Darby Property (KL East) S/B</t>
        </is>
      </c>
      <c r="D10" s="9" t="n">
        <v>234</v>
      </c>
      <c r="E10" s="9" t="n"/>
      <c r="F10" s="9" t="n">
        <v>228</v>
      </c>
      <c r="G10" s="10">
        <f>F10/$D$10</f>
        <v/>
      </c>
      <c r="H10" s="11">
        <f>I10-F10</f>
        <v/>
      </c>
      <c r="I10" s="11" t="n">
        <v>228</v>
      </c>
      <c r="J10" s="12">
        <f>I10/$D$10</f>
        <v/>
      </c>
      <c r="K10" s="8" t="inlineStr"/>
    </row>
    <row r="11">
      <c r="A11" s="7" t="n">
        <v>7</v>
      </c>
      <c r="B11" s="8" t="inlineStr">
        <is>
          <t>Sierra Hijauan</t>
        </is>
      </c>
      <c r="C11" s="8" t="inlineStr">
        <is>
          <t>IJM Land (Sierra Ukay S/B)</t>
        </is>
      </c>
      <c r="D11" s="9" t="n">
        <v>310</v>
      </c>
      <c r="E11" s="9" t="n"/>
      <c r="F11" s="9" t="n">
        <v>273</v>
      </c>
      <c r="G11" s="10">
        <f>F11/$D$11</f>
        <v/>
      </c>
      <c r="H11" s="11">
        <f>I11-F11</f>
        <v/>
      </c>
      <c r="I11" s="11" t="n">
        <v>273</v>
      </c>
      <c r="J11" s="12">
        <f>I11/$D$11</f>
        <v/>
      </c>
      <c r="K11" s="8" t="inlineStr"/>
    </row>
    <row r="12">
      <c r="A12" s="7" t="n">
        <v>8</v>
      </c>
      <c r="B12" s="8" t="inlineStr">
        <is>
          <t>Embun @ Kemensah</t>
        </is>
      </c>
      <c r="C12" s="8" t="inlineStr">
        <is>
          <t>Titijaya Land Bhd (Aman Kemensah S/B)</t>
        </is>
      </c>
      <c r="D12" s="9" t="n">
        <v>51</v>
      </c>
      <c r="E12" s="9" t="n"/>
      <c r="F12" s="9" t="n">
        <v>32</v>
      </c>
      <c r="G12" s="10">
        <f>F12/$D$12</f>
        <v/>
      </c>
      <c r="H12" s="11">
        <f>I12-F12</f>
        <v/>
      </c>
      <c r="I12" s="11" t="n">
        <v>32</v>
      </c>
      <c r="J12" s="12">
        <f>I12/$D$12</f>
        <v/>
      </c>
      <c r="K12" s="8" t="inlineStr">
        <is>
          <t>Emery not found on TEDUH</t>
        </is>
      </c>
    </row>
    <row r="13">
      <c r="A13" s="7" t="n">
        <v>9</v>
      </c>
      <c r="B13" s="8" t="inlineStr">
        <is>
          <t>Tijani Ukay Ampang</t>
        </is>
      </c>
      <c r="C13" s="8" t="inlineStr">
        <is>
          <t>Symphony Life Bhd (Ketapang Realty S/B)</t>
        </is>
      </c>
      <c r="D13" s="9" t="n">
        <v>118</v>
      </c>
      <c r="E13" s="9" t="n"/>
      <c r="F13" s="9" t="n">
        <v>74</v>
      </c>
      <c r="G13" s="10">
        <f>F13/$D$13</f>
        <v/>
      </c>
      <c r="H13" s="11">
        <f>I13-F13</f>
        <v/>
      </c>
      <c r="I13" s="11" t="n">
        <v>74</v>
      </c>
      <c r="J13" s="12">
        <f>I13/$D$13</f>
        <v/>
      </c>
      <c r="K13" s="8" t="inlineStr"/>
    </row>
    <row r="14">
      <c r="A14" s="7" t="n">
        <v>10</v>
      </c>
      <c r="B14" s="8" t="inlineStr">
        <is>
          <t>19Trees</t>
        </is>
      </c>
      <c r="C14" s="8" t="inlineStr">
        <is>
          <t>SDB Properties Sdn Bhd</t>
        </is>
      </c>
      <c r="D14" s="9" t="n">
        <v>222</v>
      </c>
      <c r="E14" s="9" t="n"/>
      <c r="F14" s="9" t="n">
        <v>222</v>
      </c>
      <c r="G14" s="10">
        <f>F14/$D$14</f>
        <v/>
      </c>
      <c r="H14" s="11">
        <f>I14-F14</f>
        <v/>
      </c>
      <c r="I14" s="11" t="n">
        <v>222</v>
      </c>
      <c r="J14" s="12">
        <f>I14/$D$14</f>
        <v/>
      </c>
      <c r="K14" s="8" t="inlineStr"/>
    </row>
    <row r="15">
      <c r="A15" s="7" t="n">
        <v>11</v>
      </c>
      <c r="B15" s="8" t="inlineStr">
        <is>
          <t>20Trees</t>
        </is>
      </c>
      <c r="C15" s="8" t="inlineStr">
        <is>
          <t>SDB Properties Sdn Bhd</t>
        </is>
      </c>
      <c r="D15" s="9" t="n">
        <v>201</v>
      </c>
      <c r="E15" s="9" t="n"/>
      <c r="F15" s="9" t="n">
        <v>0</v>
      </c>
      <c r="G15" s="10">
        <f>F15/$D$15</f>
        <v/>
      </c>
      <c r="H15" s="11">
        <f>I15-F15</f>
        <v/>
      </c>
      <c r="I15" s="11" t="n">
        <v>0</v>
      </c>
      <c r="J15" s="12">
        <f>I15/$D$15</f>
        <v/>
      </c>
      <c r="K15" s="8" t="inlineStr">
        <is>
          <t>No unit found on TEDUH</t>
        </is>
      </c>
    </row>
    <row r="16">
      <c r="A16" s="7" t="n">
        <v>12</v>
      </c>
      <c r="B16" s="8" t="inlineStr">
        <is>
          <t>Nadayu 63</t>
        </is>
      </c>
      <c r="C16" s="8" t="inlineStr">
        <is>
          <t>Nadayu Properties (Twin Ridge S/B)</t>
        </is>
      </c>
      <c r="D16" s="9" t="n">
        <v>296</v>
      </c>
      <c r="E16" s="9" t="n"/>
      <c r="F16" s="9" t="n">
        <v>197</v>
      </c>
      <c r="G16" s="10">
        <f>F16/$D$16</f>
        <v/>
      </c>
      <c r="H16" s="11">
        <f>I16-F16</f>
        <v/>
      </c>
      <c r="I16" s="11" t="n">
        <v>197</v>
      </c>
      <c r="J16" s="12">
        <f>I16/$D$16</f>
        <v/>
      </c>
      <c r="K16" s="8" t="inlineStr">
        <is>
          <t>Latest sales - Block B: 197 units</t>
        </is>
      </c>
    </row>
    <row r="17">
      <c r="A17" s="7" t="n">
        <v>13</v>
      </c>
      <c r="B17" s="8" t="inlineStr">
        <is>
          <t>16 Quartz @ Taman Melawati</t>
        </is>
      </c>
      <c r="C17" s="8" t="inlineStr">
        <is>
          <t>Mitraland (Mitraland Melawati S/B)</t>
        </is>
      </c>
      <c r="D17" s="9" t="n">
        <v>117</v>
      </c>
      <c r="E17" s="9" t="n"/>
      <c r="F17" s="9" t="n">
        <v>81</v>
      </c>
      <c r="G17" s="10">
        <f>F17/$D$17</f>
        <v/>
      </c>
      <c r="H17" s="11">
        <f>I17-F17</f>
        <v/>
      </c>
      <c r="I17" s="11" t="n">
        <v>81</v>
      </c>
      <c r="J17" s="12">
        <f>I17/$D$17</f>
        <v/>
      </c>
      <c r="K17" s="8" t="inlineStr"/>
    </row>
    <row r="18">
      <c r="A18" s="7" t="n">
        <v>14</v>
      </c>
      <c r="B18" s="8" t="inlineStr">
        <is>
          <t>Trinity Wellnessa</t>
        </is>
      </c>
      <c r="C18" s="8" t="inlineStr">
        <is>
          <t>Trinity Group (Trinity Wellnessa &amp; Enlivea Dev S/B)</t>
        </is>
      </c>
      <c r="D18" s="9" t="n">
        <v>463</v>
      </c>
      <c r="E18" s="9" t="n"/>
      <c r="F18" s="9" t="n">
        <v>456</v>
      </c>
      <c r="G18" s="10">
        <f>F18/$D$18</f>
        <v/>
      </c>
      <c r="H18" s="11">
        <f>I18-F18</f>
        <v/>
      </c>
      <c r="I18" s="11" t="n">
        <v>456</v>
      </c>
      <c r="J18" s="12">
        <f>I18/$D$18</f>
        <v/>
      </c>
      <c r="K18" s="8" t="inlineStr">
        <is>
          <t>Latest sales - Block A1: 223 units, Block A2: 233 units</t>
        </is>
      </c>
    </row>
    <row r="19">
      <c r="A19" s="7" t="n">
        <v>15</v>
      </c>
      <c r="B19" s="8" t="inlineStr">
        <is>
          <t>Nassim Heights</t>
        </is>
      </c>
      <c r="C19" s="8" t="inlineStr">
        <is>
          <t>Newfield Holding (Nassim Development S/B)</t>
        </is>
      </c>
      <c r="D19" s="9" t="n">
        <v>106</v>
      </c>
      <c r="E19" s="9" t="n"/>
      <c r="F19" s="9" t="n">
        <v>104</v>
      </c>
      <c r="G19" s="10">
        <f>F19/$D$19</f>
        <v/>
      </c>
      <c r="H19" s="11">
        <f>I19-F19</f>
        <v/>
      </c>
      <c r="I19" s="11" t="n">
        <v>104</v>
      </c>
      <c r="J19" s="12">
        <f>I19/$D$19</f>
        <v/>
      </c>
      <c r="K19" s="8" t="inlineStr"/>
    </row>
    <row r="20">
      <c r="A20" s="7" t="n">
        <v>16</v>
      </c>
      <c r="B20" s="8" t="inlineStr">
        <is>
          <t>Kelab Ukay Residence</t>
        </is>
      </c>
      <c r="C20" s="8" t="inlineStr">
        <is>
          <t>Sri Datai / Strong Heritage S/B</t>
        </is>
      </c>
      <c r="D20" s="9" t="n">
        <v>15</v>
      </c>
      <c r="E20" s="9" t="n"/>
      <c r="F20" s="9" t="n">
        <v>11</v>
      </c>
      <c r="G20" s="10">
        <f>F20/$D$20</f>
        <v/>
      </c>
      <c r="H20" s="11">
        <f>I20-F20</f>
        <v/>
      </c>
      <c r="I20" s="11" t="n">
        <v>11</v>
      </c>
      <c r="J20" s="12">
        <f>I20/$D$20</f>
        <v/>
      </c>
      <c r="K20" s="8" t="inlineStr"/>
    </row>
    <row r="21">
      <c r="A21" s="7" t="n">
        <v>17</v>
      </c>
      <c r="B21" s="8" t="inlineStr">
        <is>
          <t>Villaria</t>
        </is>
      </c>
      <c r="C21" s="8" t="inlineStr"/>
      <c r="D21" s="9" t="n">
        <v>0</v>
      </c>
      <c r="E21" s="9" t="n"/>
      <c r="F21" s="9" t="n"/>
      <c r="G21" s="10" t="n"/>
      <c r="H21" s="11" t="n"/>
      <c r="I21" s="11" t="n"/>
      <c r="J21" s="12" t="n"/>
      <c r="K21" s="8" t="inlineStr">
        <is>
          <t>No TEDUH code</t>
        </is>
      </c>
    </row>
  </sheetData>
  <mergeCells count="2">
    <mergeCell ref="H3:J3"/>
    <mergeCell ref="E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2026-08-29T08:02:59Z</dcterms:created>
  <dcterms:modified xsi:type="dcterms:W3CDTF">2026-08-29T08:02:59Z</dcterms:modified>
</cp:coreProperties>
</file>