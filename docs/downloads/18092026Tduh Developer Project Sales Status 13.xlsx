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P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</cols>
  <sheetData>
    <row r="2">
      <c r="A2" s="1" t="inlineStr">
        <is>
          <t>Report as at 18/09/2026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3" t="n">
        <v>46276</v>
      </c>
      <c r="BN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5" t="inlineStr">
        <is>
          <t xml:space="preserve">NEW SALES </t>
        </is>
      </c>
      <c r="BL4" s="5" t="inlineStr">
        <is>
          <t>TOTAL SOLD</t>
        </is>
      </c>
      <c r="BM4" s="5" t="inlineStr">
        <is>
          <t>%</t>
        </is>
      </c>
      <c r="BN4" s="6" t="inlineStr">
        <is>
          <t xml:space="preserve">NEW SALES </t>
        </is>
      </c>
      <c r="BO4" s="6" t="inlineStr">
        <is>
          <t>TOTAL SOLD</t>
        </is>
      </c>
      <c r="BP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0">
        <f>BL5-BI5</f>
        <v/>
      </c>
      <c r="BL5" s="10" t="n">
        <v>208</v>
      </c>
      <c r="BM5" s="11">
        <f>BL5/$D$5</f>
        <v/>
      </c>
      <c r="BN5" s="12">
        <f>BO5-BL5</f>
        <v/>
      </c>
      <c r="BO5" s="12" t="n">
        <v>214</v>
      </c>
      <c r="BP5" s="13">
        <f>BO5/$D$5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0">
        <f>BL6-BI6</f>
        <v/>
      </c>
      <c r="BL6" s="10" t="n">
        <v>385</v>
      </c>
      <c r="BM6" s="11">
        <f>BL6/$D$6</f>
        <v/>
      </c>
      <c r="BN6" s="12">
        <f>BO6-BL6</f>
        <v/>
      </c>
      <c r="BO6" s="12" t="n">
        <v>392</v>
      </c>
      <c r="BP6" s="13">
        <f>BO6/$D$6</f>
        <v/>
      </c>
    </row>
    <row r="7">
      <c r="A7" s="7" t="n">
        <v>3</v>
      </c>
      <c r="B7" s="8" t="inlineStr">
        <is>
          <t>ARTE STAR MILANO</t>
        </is>
      </c>
      <c r="C7" s="9" t="n">
        <v>45972</v>
      </c>
      <c r="D7" s="10" t="n">
        <v>996</v>
      </c>
      <c r="E7" s="7" t="inlineStr">
        <is>
          <t>30590-2</t>
        </is>
      </c>
      <c r="F7" s="8" t="inlineStr">
        <is>
          <t>SURIAMEGA DEVELOPMENT</t>
        </is>
      </c>
      <c r="G7" s="10" t="n">
        <v>46</v>
      </c>
      <c r="H7" s="11">
        <f>G7/$D$7</f>
        <v/>
      </c>
      <c r="I7" s="10">
        <f>J7-G7</f>
        <v/>
      </c>
      <c r="J7" s="10" t="n">
        <v>52</v>
      </c>
      <c r="K7" s="11">
        <f>J7/$D$7</f>
        <v/>
      </c>
      <c r="L7" s="10">
        <f>M7-J7</f>
        <v/>
      </c>
      <c r="M7" s="10" t="n">
        <v>54</v>
      </c>
      <c r="N7" s="11">
        <f>M7/$D$7</f>
        <v/>
      </c>
      <c r="O7" s="10">
        <f>P7-M7</f>
        <v/>
      </c>
      <c r="P7" s="10" t="n">
        <v>58</v>
      </c>
      <c r="Q7" s="11">
        <f>P7/$D$7</f>
        <v/>
      </c>
      <c r="R7" s="10">
        <f>S7-P7</f>
        <v/>
      </c>
      <c r="S7" s="10" t="n">
        <v>61</v>
      </c>
      <c r="T7" s="11">
        <f>S7/$D$7</f>
        <v/>
      </c>
      <c r="U7" s="10">
        <f>V7-S7</f>
        <v/>
      </c>
      <c r="V7" s="10" t="n">
        <v>67</v>
      </c>
      <c r="W7" s="11">
        <f>V7/$D$7</f>
        <v/>
      </c>
      <c r="X7" s="10">
        <f>Y7-V7</f>
        <v/>
      </c>
      <c r="Y7" s="10" t="n">
        <v>67</v>
      </c>
      <c r="Z7" s="11">
        <f>Y7/$D$7</f>
        <v/>
      </c>
      <c r="AA7" s="10">
        <f>AB7-Y7</f>
        <v/>
      </c>
      <c r="AB7" s="10" t="n">
        <v>73</v>
      </c>
      <c r="AC7" s="11">
        <f>AB7/$D$7</f>
        <v/>
      </c>
      <c r="AD7" s="10">
        <f>AE7-AB7</f>
        <v/>
      </c>
      <c r="AE7" s="10" t="n">
        <v>74</v>
      </c>
      <c r="AF7" s="11">
        <f>AE7/$D$7</f>
        <v/>
      </c>
      <c r="AG7" s="10">
        <f>AH7-AE7</f>
        <v/>
      </c>
      <c r="AH7" s="10" t="n">
        <v>78</v>
      </c>
      <c r="AI7" s="11">
        <f>AH7/$D$7</f>
        <v/>
      </c>
      <c r="AJ7" s="10">
        <f>AK7-AH7</f>
        <v/>
      </c>
      <c r="AK7" s="10" t="n">
        <v>81</v>
      </c>
      <c r="AL7" s="11">
        <f>AK7/$D$7</f>
        <v/>
      </c>
      <c r="AM7" s="10">
        <f>AN7-AK7</f>
        <v/>
      </c>
      <c r="AN7" s="10" t="n">
        <v>94</v>
      </c>
      <c r="AO7" s="11">
        <f>AN7/$D$7</f>
        <v/>
      </c>
      <c r="AP7" s="10">
        <f>AQ7-AN7</f>
        <v/>
      </c>
      <c r="AQ7" s="10" t="n">
        <v>102</v>
      </c>
      <c r="AR7" s="11">
        <f>AQ7/$D$7</f>
        <v/>
      </c>
      <c r="AS7" s="10">
        <f>AT7-AQ7</f>
        <v/>
      </c>
      <c r="AT7" s="10" t="n">
        <v>106</v>
      </c>
      <c r="AU7" s="11">
        <f>AT7/$D$7</f>
        <v/>
      </c>
      <c r="AV7" s="10">
        <f>AW7-AT7</f>
        <v/>
      </c>
      <c r="AW7" s="10" t="n">
        <v>112</v>
      </c>
      <c r="AX7" s="11">
        <f>AW7/$D$7</f>
        <v/>
      </c>
      <c r="AY7" s="10">
        <f>AZ7-AW7</f>
        <v/>
      </c>
      <c r="AZ7" s="10" t="n">
        <v>119</v>
      </c>
      <c r="BA7" s="11">
        <f>AZ7/$D$7</f>
        <v/>
      </c>
      <c r="BB7" s="10">
        <f>BC7-AZ7</f>
        <v/>
      </c>
      <c r="BC7" s="10" t="n">
        <v>123</v>
      </c>
      <c r="BD7" s="11">
        <f>BC7/$D$7</f>
        <v/>
      </c>
      <c r="BE7" s="10">
        <f>BF7-BC7</f>
        <v/>
      </c>
      <c r="BF7" s="10" t="n">
        <v>128</v>
      </c>
      <c r="BG7" s="11">
        <f>BF7/$D$7</f>
        <v/>
      </c>
      <c r="BH7" s="10">
        <f>BI7-BF7</f>
        <v/>
      </c>
      <c r="BI7" s="10" t="n">
        <v>131</v>
      </c>
      <c r="BJ7" s="11">
        <f>BI7/$D$7</f>
        <v/>
      </c>
      <c r="BK7" s="10">
        <f>BL7-BI7</f>
        <v/>
      </c>
      <c r="BL7" s="10" t="n">
        <v>136</v>
      </c>
      <c r="BM7" s="11">
        <f>BL7/$D$7</f>
        <v/>
      </c>
      <c r="BN7" s="12">
        <f>BO7-BL7</f>
        <v/>
      </c>
      <c r="BO7" s="12" t="n">
        <v>137</v>
      </c>
      <c r="BP7" s="13">
        <f>BO7/$D$7</f>
        <v/>
      </c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0">
        <f>BL8-BI8</f>
        <v/>
      </c>
      <c r="BL8" s="10" t="n">
        <v>1019</v>
      </c>
      <c r="BM8" s="11">
        <f>BL8/$D$8</f>
        <v/>
      </c>
      <c r="BN8" s="12">
        <f>BO8-BL8</f>
        <v/>
      </c>
      <c r="BO8" s="12" t="n">
        <v>1028</v>
      </c>
      <c r="BP8" s="13">
        <f>BO8/$D$8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0">
        <f>BL9-BI9</f>
        <v/>
      </c>
      <c r="BL9" s="10" t="n">
        <v>1130</v>
      </c>
      <c r="BM9" s="11">
        <f>BL9/$D$9</f>
        <v/>
      </c>
      <c r="BN9" s="12">
        <f>BO9-BL9</f>
        <v/>
      </c>
      <c r="BO9" s="12" t="n">
        <v>1132</v>
      </c>
      <c r="BP9" s="13">
        <f>BO9/$D$9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0">
        <f>BL10-BI10</f>
        <v/>
      </c>
      <c r="BL10" s="10" t="n">
        <v>525</v>
      </c>
      <c r="BM10" s="11">
        <f>BL10/$D$10</f>
        <v/>
      </c>
      <c r="BN10" s="12">
        <f>BO10-BL10</f>
        <v/>
      </c>
      <c r="BO10" s="12" t="n">
        <v>530</v>
      </c>
      <c r="BP10" s="13">
        <f>BO10/$D$10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0">
        <f>BL11-BI11</f>
        <v/>
      </c>
      <c r="BL11" s="10" t="n">
        <v>470</v>
      </c>
      <c r="BM11" s="11">
        <f>BL11/$D$11</f>
        <v/>
      </c>
      <c r="BN11" s="12">
        <f>BO11-BL11</f>
        <v/>
      </c>
      <c r="BO11" s="12" t="n">
        <v>470</v>
      </c>
      <c r="BP11" s="13">
        <f>BO11/$D$11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0">
        <f>BL12-BI12</f>
        <v/>
      </c>
      <c r="BL12" s="10" t="n">
        <v>238</v>
      </c>
      <c r="BM12" s="11">
        <f>BL12/$D$12</f>
        <v/>
      </c>
      <c r="BN12" s="12">
        <f>BO12-BL12</f>
        <v/>
      </c>
      <c r="BO12" s="12" t="n">
        <v>238</v>
      </c>
      <c r="BP12" s="13">
        <f>BO12/$D$12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0">
        <f>BL13-BI13</f>
        <v/>
      </c>
      <c r="BL13" s="10" t="n">
        <v>671</v>
      </c>
      <c r="BM13" s="11">
        <f>BL13/$D$13</f>
        <v/>
      </c>
      <c r="BN13" s="12">
        <f>BO13-BL13</f>
        <v/>
      </c>
      <c r="BO13" s="12" t="n">
        <v>677</v>
      </c>
      <c r="BP13" s="13">
        <f>BO13/$D$13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0">
        <f>BL14-BI14</f>
        <v/>
      </c>
      <c r="BL14" s="10" t="n">
        <v>1169</v>
      </c>
      <c r="BM14" s="11">
        <f>BL14/$D$14</f>
        <v/>
      </c>
      <c r="BN14" s="12">
        <f>BO14-BL14</f>
        <v/>
      </c>
      <c r="BO14" s="12" t="n">
        <v>1173</v>
      </c>
      <c r="BP14" s="13">
        <f>BO14/$D$14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0">
        <f>BL15-BI15</f>
        <v/>
      </c>
      <c r="BL15" s="10" t="n">
        <v>141</v>
      </c>
      <c r="BM15" s="11">
        <f>BL15/$D$15</f>
        <v/>
      </c>
      <c r="BN15" s="12">
        <f>BO15-BL15</f>
        <v/>
      </c>
      <c r="BO15" s="12" t="n">
        <v>149</v>
      </c>
      <c r="BP15" s="13">
        <f>BO15/$D$15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0">
        <f>BL16-BI16</f>
        <v/>
      </c>
      <c r="BL16" s="10" t="n">
        <v>659</v>
      </c>
      <c r="BM16" s="11">
        <f>BL16/$D$16</f>
        <v/>
      </c>
      <c r="BN16" s="12">
        <f>BO16-BL16</f>
        <v/>
      </c>
      <c r="BO16" s="12" t="n">
        <v>659</v>
      </c>
      <c r="BP16" s="13">
        <f>BO16/$D$16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0" t="n"/>
      <c r="BL17" s="10" t="n"/>
      <c r="BM17" s="11" t="n"/>
      <c r="BN17" s="12" t="n"/>
      <c r="BO17" s="12" t="n"/>
      <c r="BP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0">
        <f>BL18-BI18</f>
        <v/>
      </c>
      <c r="BL18" s="10" t="n">
        <v>358</v>
      </c>
      <c r="BM18" s="11">
        <f>BL18/$D$18</f>
        <v/>
      </c>
      <c r="BN18" s="12">
        <f>BO18-BL18</f>
        <v/>
      </c>
      <c r="BO18" s="12" t="n">
        <v>402</v>
      </c>
      <c r="BP18" s="13">
        <f>BO18/$D$18</f>
        <v/>
      </c>
    </row>
  </sheetData>
  <mergeCells count="21">
    <mergeCell ref="BN3:BP3"/>
    <mergeCell ref="X3:Z3"/>
    <mergeCell ref="AJ3:AL3"/>
    <mergeCell ref="I3:K3"/>
    <mergeCell ref="U3:W3"/>
    <mergeCell ref="BK3:BM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2026-09-18T00:08:00Z</dcterms:created>
  <dcterms:modified xsi:type="dcterms:W3CDTF">2026-09-18T00:08:00Z</dcterms:modified>
</cp:coreProperties>
</file>