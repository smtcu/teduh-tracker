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9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S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</cols>
  <sheetData>
    <row r="2">
      <c r="A2" s="1" t="inlineStr">
        <is>
          <t>Report as at 29/09/2026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3" t="n">
        <v>46262</v>
      </c>
      <c r="BH3" s="3" t="n">
        <v>46269</v>
      </c>
      <c r="BK3" s="3" t="n">
        <v>46276</v>
      </c>
      <c r="BN3" s="3" t="n">
        <v>46283</v>
      </c>
      <c r="BQ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 xml:space="preserve">NEW SALES 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 xml:space="preserve">NEW SALES 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 xml:space="preserve">NEW SALES 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 xml:space="preserve">NEW SALES </t>
        </is>
      </c>
      <c r="BO4" s="5" t="inlineStr">
        <is>
          <t>TOTAL SOLD</t>
        </is>
      </c>
      <c r="BP4" s="5" t="inlineStr">
        <is>
          <t>%</t>
        </is>
      </c>
      <c r="BQ4" s="6" t="inlineStr">
        <is>
          <t xml:space="preserve">NEW SALES </t>
        </is>
      </c>
      <c r="BR4" s="6" t="inlineStr">
        <is>
          <t>TOTAL SOLD</t>
        </is>
      </c>
      <c r="BS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0">
        <f>BF5-BC5</f>
        <v/>
      </c>
      <c r="BF5" s="10" t="n">
        <v>188</v>
      </c>
      <c r="BG5" s="11">
        <f>BF5/$D$5</f>
        <v/>
      </c>
      <c r="BH5" s="10">
        <f>BI5-BF5</f>
        <v/>
      </c>
      <c r="BI5" s="10" t="n">
        <v>192</v>
      </c>
      <c r="BJ5" s="11">
        <f>BI5/$D$5</f>
        <v/>
      </c>
      <c r="BK5" s="10">
        <f>BL5-BI5</f>
        <v/>
      </c>
      <c r="BL5" s="10" t="n">
        <v>208</v>
      </c>
      <c r="BM5" s="11">
        <f>BL5/$D$5</f>
        <v/>
      </c>
      <c r="BN5" s="10">
        <f>BO5-BL5</f>
        <v/>
      </c>
      <c r="BO5" s="10" t="n">
        <v>214</v>
      </c>
      <c r="BP5" s="11">
        <f>BO5/$D$5</f>
        <v/>
      </c>
      <c r="BQ5" s="12">
        <f>BR5-BO5</f>
        <v/>
      </c>
      <c r="BR5" s="12" t="n">
        <v>229</v>
      </c>
      <c r="BS5" s="13">
        <f>BR5/$D$5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0">
        <f>BF6-BC6</f>
        <v/>
      </c>
      <c r="BF6" s="10" t="n">
        <v>355</v>
      </c>
      <c r="BG6" s="11">
        <f>BF6/$D$6</f>
        <v/>
      </c>
      <c r="BH6" s="10">
        <f>BI6-BF6</f>
        <v/>
      </c>
      <c r="BI6" s="10" t="n">
        <v>365</v>
      </c>
      <c r="BJ6" s="11">
        <f>BI6/$D$6</f>
        <v/>
      </c>
      <c r="BK6" s="10">
        <f>BL6-BI6</f>
        <v/>
      </c>
      <c r="BL6" s="10" t="n">
        <v>385</v>
      </c>
      <c r="BM6" s="11">
        <f>BL6/$D$6</f>
        <v/>
      </c>
      <c r="BN6" s="10">
        <f>BO6-BL6</f>
        <v/>
      </c>
      <c r="BO6" s="10" t="n">
        <v>392</v>
      </c>
      <c r="BP6" s="11">
        <f>BO6/$D$6</f>
        <v/>
      </c>
      <c r="BQ6" s="12">
        <f>BR6-BO6</f>
        <v/>
      </c>
      <c r="BR6" s="12" t="n">
        <v>402</v>
      </c>
      <c r="BS6" s="13">
        <f>BR6/$D$6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30590-2,30590-1</t>
        </is>
      </c>
      <c r="F7" s="8" t="inlineStr">
        <is>
          <t>SURIAMEGA DEVELOPMENT</t>
        </is>
      </c>
      <c r="G7" s="10" t="n"/>
      <c r="H7" s="11" t="n"/>
      <c r="I7" s="10" t="n"/>
      <c r="J7" s="10" t="n"/>
      <c r="K7" s="11" t="n"/>
      <c r="L7" s="10" t="n"/>
      <c r="M7" s="10" t="n"/>
      <c r="N7" s="11" t="n"/>
      <c r="O7" s="10" t="n"/>
      <c r="P7" s="10" t="n"/>
      <c r="Q7" s="11" t="n"/>
      <c r="R7" s="10" t="n"/>
      <c r="S7" s="10" t="n"/>
      <c r="T7" s="11" t="n"/>
      <c r="U7" s="10" t="n"/>
      <c r="V7" s="10" t="n"/>
      <c r="W7" s="11" t="n"/>
      <c r="X7" s="10" t="n"/>
      <c r="Y7" s="10" t="n"/>
      <c r="Z7" s="11" t="n"/>
      <c r="AA7" s="10" t="n"/>
      <c r="AB7" s="10" t="n"/>
      <c r="AC7" s="11" t="n"/>
      <c r="AD7" s="10" t="n"/>
      <c r="AE7" s="10" t="n"/>
      <c r="AF7" s="11" t="n"/>
      <c r="AG7" s="10" t="n"/>
      <c r="AH7" s="10" t="n"/>
      <c r="AI7" s="11" t="n"/>
      <c r="AJ7" s="10" t="n"/>
      <c r="AK7" s="10" t="n"/>
      <c r="AL7" s="11" t="n"/>
      <c r="AM7" s="10" t="n"/>
      <c r="AN7" s="10" t="n"/>
      <c r="AO7" s="11" t="n"/>
      <c r="AP7" s="10" t="n"/>
      <c r="AQ7" s="10" t="n"/>
      <c r="AR7" s="11" t="n"/>
      <c r="AS7" s="10" t="n"/>
      <c r="AT7" s="10" t="n"/>
      <c r="AU7" s="11" t="n"/>
      <c r="AV7" s="10" t="n"/>
      <c r="AW7" s="10" t="n"/>
      <c r="AX7" s="11" t="n"/>
      <c r="AY7" s="10" t="n"/>
      <c r="AZ7" s="10" t="n"/>
      <c r="BA7" s="11" t="n"/>
      <c r="BB7" s="10" t="n"/>
      <c r="BC7" s="10" t="n"/>
      <c r="BD7" s="11" t="n"/>
      <c r="BE7" s="10" t="n"/>
      <c r="BF7" s="10" t="n"/>
      <c r="BG7" s="11" t="n"/>
      <c r="BH7" s="10" t="n"/>
      <c r="BI7" s="10" t="n"/>
      <c r="BJ7" s="11" t="n"/>
      <c r="BK7" s="10" t="n"/>
      <c r="BL7" s="10" t="n"/>
      <c r="BM7" s="11" t="n"/>
      <c r="BN7" s="10" t="n"/>
      <c r="BO7" s="10" t="n"/>
      <c r="BP7" s="11" t="n"/>
      <c r="BQ7" s="12" t="n"/>
      <c r="BR7" s="12" t="n"/>
      <c r="BS7" s="13" t="n"/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0">
        <f>BF8-BC8</f>
        <v/>
      </c>
      <c r="BF8" s="10" t="n">
        <v>1009</v>
      </c>
      <c r="BG8" s="11">
        <f>BF8/$D$8</f>
        <v/>
      </c>
      <c r="BH8" s="10">
        <f>BI8-BF8</f>
        <v/>
      </c>
      <c r="BI8" s="10" t="n">
        <v>1013</v>
      </c>
      <c r="BJ8" s="11">
        <f>BI8/$D$8</f>
        <v/>
      </c>
      <c r="BK8" s="10">
        <f>BL8-BI8</f>
        <v/>
      </c>
      <c r="BL8" s="10" t="n">
        <v>1019</v>
      </c>
      <c r="BM8" s="11">
        <f>BL8/$D$8</f>
        <v/>
      </c>
      <c r="BN8" s="10">
        <f>BO8-BL8</f>
        <v/>
      </c>
      <c r="BO8" s="10" t="n">
        <v>1028</v>
      </c>
      <c r="BP8" s="11">
        <f>BO8/$D$8</f>
        <v/>
      </c>
      <c r="BQ8" s="12">
        <f>BR8-BO8</f>
        <v/>
      </c>
      <c r="BR8" s="12" t="n">
        <v>1039</v>
      </c>
      <c r="BS8" s="13">
        <f>BR8/$D$8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0">
        <f>BF9-BC9</f>
        <v/>
      </c>
      <c r="BF9" s="10" t="n">
        <v>1126</v>
      </c>
      <c r="BG9" s="11">
        <f>BF9/$D$9</f>
        <v/>
      </c>
      <c r="BH9" s="10">
        <f>BI9-BF9</f>
        <v/>
      </c>
      <c r="BI9" s="10" t="n">
        <v>1128</v>
      </c>
      <c r="BJ9" s="11">
        <f>BI9/$D$9</f>
        <v/>
      </c>
      <c r="BK9" s="10">
        <f>BL9-BI9</f>
        <v/>
      </c>
      <c r="BL9" s="10" t="n">
        <v>1130</v>
      </c>
      <c r="BM9" s="11">
        <f>BL9/$D$9</f>
        <v/>
      </c>
      <c r="BN9" s="10">
        <f>BO9-BL9</f>
        <v/>
      </c>
      <c r="BO9" s="10" t="n">
        <v>1132</v>
      </c>
      <c r="BP9" s="11">
        <f>BO9/$D$9</f>
        <v/>
      </c>
      <c r="BQ9" s="12">
        <f>BR9-BO9</f>
        <v/>
      </c>
      <c r="BR9" s="12" t="n">
        <v>1132</v>
      </c>
      <c r="BS9" s="13">
        <f>BR9/$D$9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0">
        <f>BF10-BC10</f>
        <v/>
      </c>
      <c r="BF10" s="10" t="n">
        <v>519</v>
      </c>
      <c r="BG10" s="11">
        <f>BF10/$D$10</f>
        <v/>
      </c>
      <c r="BH10" s="10">
        <f>BI10-BF10</f>
        <v/>
      </c>
      <c r="BI10" s="10" t="n">
        <v>521</v>
      </c>
      <c r="BJ10" s="11">
        <f>BI10/$D$10</f>
        <v/>
      </c>
      <c r="BK10" s="10">
        <f>BL10-BI10</f>
        <v/>
      </c>
      <c r="BL10" s="10" t="n">
        <v>525</v>
      </c>
      <c r="BM10" s="11">
        <f>BL10/$D$10</f>
        <v/>
      </c>
      <c r="BN10" s="10">
        <f>BO10-BL10</f>
        <v/>
      </c>
      <c r="BO10" s="10" t="n">
        <v>530</v>
      </c>
      <c r="BP10" s="11">
        <f>BO10/$D$10</f>
        <v/>
      </c>
      <c r="BQ10" s="12">
        <f>BR10-BO10</f>
        <v/>
      </c>
      <c r="BR10" s="12" t="n">
        <v>535</v>
      </c>
      <c r="BS10" s="13">
        <f>BR10/$D$10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0">
        <f>BF11-BC11</f>
        <v/>
      </c>
      <c r="BF11" s="10" t="n">
        <v>467</v>
      </c>
      <c r="BG11" s="11">
        <f>BF11/$D$11</f>
        <v/>
      </c>
      <c r="BH11" s="10">
        <f>BI11-BF11</f>
        <v/>
      </c>
      <c r="BI11" s="10" t="n">
        <v>469</v>
      </c>
      <c r="BJ11" s="11">
        <f>BI11/$D$11</f>
        <v/>
      </c>
      <c r="BK11" s="10">
        <f>BL11-BI11</f>
        <v/>
      </c>
      <c r="BL11" s="10" t="n">
        <v>470</v>
      </c>
      <c r="BM11" s="11">
        <f>BL11/$D$11</f>
        <v/>
      </c>
      <c r="BN11" s="10">
        <f>BO11-BL11</f>
        <v/>
      </c>
      <c r="BO11" s="10" t="n">
        <v>470</v>
      </c>
      <c r="BP11" s="11">
        <f>BO11/$D$11</f>
        <v/>
      </c>
      <c r="BQ11" s="12">
        <f>BR11-BO11</f>
        <v/>
      </c>
      <c r="BR11" s="12" t="n">
        <v>470</v>
      </c>
      <c r="BS11" s="13">
        <f>BR11/$D$11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0">
        <f>BF12-BC12</f>
        <v/>
      </c>
      <c r="BF12" s="10" t="n">
        <v>237</v>
      </c>
      <c r="BG12" s="11">
        <f>BF12/$D$12</f>
        <v/>
      </c>
      <c r="BH12" s="10">
        <f>BI12-BF12</f>
        <v/>
      </c>
      <c r="BI12" s="10" t="n">
        <v>238</v>
      </c>
      <c r="BJ12" s="11">
        <f>BI12/$D$12</f>
        <v/>
      </c>
      <c r="BK12" s="10">
        <f>BL12-BI12</f>
        <v/>
      </c>
      <c r="BL12" s="10" t="n">
        <v>238</v>
      </c>
      <c r="BM12" s="11">
        <f>BL12/$D$12</f>
        <v/>
      </c>
      <c r="BN12" s="10">
        <f>BO12-BL12</f>
        <v/>
      </c>
      <c r="BO12" s="10" t="n">
        <v>238</v>
      </c>
      <c r="BP12" s="11">
        <f>BO12/$D$12</f>
        <v/>
      </c>
      <c r="BQ12" s="12">
        <f>BR12-BO12</f>
        <v/>
      </c>
      <c r="BR12" s="12" t="n">
        <v>239</v>
      </c>
      <c r="BS12" s="13">
        <f>BR12/$D$12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0">
        <f>BF13-BC13</f>
        <v/>
      </c>
      <c r="BF13" s="10" t="n">
        <v>647</v>
      </c>
      <c r="BG13" s="11">
        <f>BF13/$D$13</f>
        <v/>
      </c>
      <c r="BH13" s="10">
        <f>BI13-BF13</f>
        <v/>
      </c>
      <c r="BI13" s="10" t="n">
        <v>653</v>
      </c>
      <c r="BJ13" s="11">
        <f>BI13/$D$13</f>
        <v/>
      </c>
      <c r="BK13" s="10">
        <f>BL13-BI13</f>
        <v/>
      </c>
      <c r="BL13" s="10" t="n">
        <v>671</v>
      </c>
      <c r="BM13" s="11">
        <f>BL13/$D$13</f>
        <v/>
      </c>
      <c r="BN13" s="10">
        <f>BO13-BL13</f>
        <v/>
      </c>
      <c r="BO13" s="10" t="n">
        <v>677</v>
      </c>
      <c r="BP13" s="11">
        <f>BO13/$D$13</f>
        <v/>
      </c>
      <c r="BQ13" s="12">
        <f>BR13-BO13</f>
        <v/>
      </c>
      <c r="BR13" s="12" t="n">
        <v>684</v>
      </c>
      <c r="BS13" s="13">
        <f>BR13/$D$13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0">
        <f>BF14-BC14</f>
        <v/>
      </c>
      <c r="BF14" s="10" t="n">
        <v>1157</v>
      </c>
      <c r="BG14" s="11">
        <f>BF14/$D$14</f>
        <v/>
      </c>
      <c r="BH14" s="10">
        <f>BI14-BF14</f>
        <v/>
      </c>
      <c r="BI14" s="10" t="n">
        <v>1163</v>
      </c>
      <c r="BJ14" s="11">
        <f>BI14/$D$14</f>
        <v/>
      </c>
      <c r="BK14" s="10">
        <f>BL14-BI14</f>
        <v/>
      </c>
      <c r="BL14" s="10" t="n">
        <v>1169</v>
      </c>
      <c r="BM14" s="11">
        <f>BL14/$D$14</f>
        <v/>
      </c>
      <c r="BN14" s="10">
        <f>BO14-BL14</f>
        <v/>
      </c>
      <c r="BO14" s="10" t="n">
        <v>1173</v>
      </c>
      <c r="BP14" s="11">
        <f>BO14/$D$14</f>
        <v/>
      </c>
      <c r="BQ14" s="12">
        <f>BR14-BO14</f>
        <v/>
      </c>
      <c r="BR14" s="12" t="n">
        <v>1179</v>
      </c>
      <c r="BS14" s="13">
        <f>BR14/$D$14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0">
        <f>BF15-BC15</f>
        <v/>
      </c>
      <c r="BF15" s="10" t="n">
        <v>134</v>
      </c>
      <c r="BG15" s="11">
        <f>BF15/$D$15</f>
        <v/>
      </c>
      <c r="BH15" s="10">
        <f>BI15-BF15</f>
        <v/>
      </c>
      <c r="BI15" s="10" t="n">
        <v>138</v>
      </c>
      <c r="BJ15" s="11">
        <f>BI15/$D$15</f>
        <v/>
      </c>
      <c r="BK15" s="10">
        <f>BL15-BI15</f>
        <v/>
      </c>
      <c r="BL15" s="10" t="n">
        <v>141</v>
      </c>
      <c r="BM15" s="11">
        <f>BL15/$D$15</f>
        <v/>
      </c>
      <c r="BN15" s="10">
        <f>BO15-BL15</f>
        <v/>
      </c>
      <c r="BO15" s="10" t="n">
        <v>149</v>
      </c>
      <c r="BP15" s="11">
        <f>BO15/$D$15</f>
        <v/>
      </c>
      <c r="BQ15" s="12">
        <f>BR15-BO15</f>
        <v/>
      </c>
      <c r="BR15" s="12" t="n">
        <v>153</v>
      </c>
      <c r="BS15" s="13">
        <f>BR15/$D$15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0">
        <f>BF16-BC16</f>
        <v/>
      </c>
      <c r="BF16" s="10" t="n">
        <v>659</v>
      </c>
      <c r="BG16" s="11">
        <f>BF16/$D$16</f>
        <v/>
      </c>
      <c r="BH16" s="10">
        <f>BI16-BF16</f>
        <v/>
      </c>
      <c r="BI16" s="10" t="n">
        <v>659</v>
      </c>
      <c r="BJ16" s="11">
        <f>BI16/$D$16</f>
        <v/>
      </c>
      <c r="BK16" s="10">
        <f>BL16-BI16</f>
        <v/>
      </c>
      <c r="BL16" s="10" t="n">
        <v>659</v>
      </c>
      <c r="BM16" s="11">
        <f>BL16/$D$16</f>
        <v/>
      </c>
      <c r="BN16" s="10">
        <f>BO16-BL16</f>
        <v/>
      </c>
      <c r="BO16" s="10" t="n">
        <v>659</v>
      </c>
      <c r="BP16" s="11">
        <f>BO16/$D$16</f>
        <v/>
      </c>
      <c r="BQ16" s="12">
        <f>BR16-BO16</f>
        <v/>
      </c>
      <c r="BR16" s="12" t="n">
        <v>659</v>
      </c>
      <c r="BS16" s="13">
        <f>BR16/$D$16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0" t="n"/>
      <c r="BF17" s="10" t="n"/>
      <c r="BG17" s="11" t="n"/>
      <c r="BH17" s="10" t="n"/>
      <c r="BI17" s="10" t="n"/>
      <c r="BJ17" s="11" t="n"/>
      <c r="BK17" s="10" t="n"/>
      <c r="BL17" s="10" t="n"/>
      <c r="BM17" s="11" t="n"/>
      <c r="BN17" s="10" t="n"/>
      <c r="BO17" s="10" t="n"/>
      <c r="BP17" s="11" t="n"/>
      <c r="BQ17" s="12" t="n"/>
      <c r="BR17" s="12" t="n"/>
      <c r="BS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0">
        <f>BF18-BC18</f>
        <v/>
      </c>
      <c r="BF18" s="10" t="n">
        <v>260</v>
      </c>
      <c r="BG18" s="11">
        <f>BF18/$D$18</f>
        <v/>
      </c>
      <c r="BH18" s="10">
        <f>BI18-BF18</f>
        <v/>
      </c>
      <c r="BI18" s="10" t="n">
        <v>303</v>
      </c>
      <c r="BJ18" s="11">
        <f>BI18/$D$18</f>
        <v/>
      </c>
      <c r="BK18" s="10">
        <f>BL18-BI18</f>
        <v/>
      </c>
      <c r="BL18" s="10" t="n">
        <v>358</v>
      </c>
      <c r="BM18" s="11">
        <f>BL18/$D$18</f>
        <v/>
      </c>
      <c r="BN18" s="10">
        <f>BO18-BL18</f>
        <v/>
      </c>
      <c r="BO18" s="10" t="n">
        <v>402</v>
      </c>
      <c r="BP18" s="11">
        <f>BO18/$D$18</f>
        <v/>
      </c>
      <c r="BQ18" s="12">
        <f>BR18-BO18</f>
        <v/>
      </c>
      <c r="BR18" s="12" t="n">
        <v>440</v>
      </c>
      <c r="BS18" s="13">
        <f>BR18/$D$18</f>
        <v/>
      </c>
    </row>
  </sheetData>
  <mergeCells count="22">
    <mergeCell ref="BN3:BP3"/>
    <mergeCell ref="X3:Z3"/>
    <mergeCell ref="AJ3:AL3"/>
    <mergeCell ref="I3:K3"/>
    <mergeCell ref="U3:W3"/>
    <mergeCell ref="BK3:BM3"/>
    <mergeCell ref="BQ3:BS3"/>
    <mergeCell ref="R3:T3"/>
    <mergeCell ref="AG3:AI3"/>
    <mergeCell ref="AA3:AC3"/>
    <mergeCell ref="G3:H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2026-09-29T23:55:09Z</dcterms:created>
  <dcterms:modified xsi:type="dcterms:W3CDTF">2026-09-29T23:55:09Z</dcterms:modified>
</cp:coreProperties>
</file>