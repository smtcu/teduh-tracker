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S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</cols>
  <sheetData>
    <row r="2">
      <c r="A2" s="1" t="inlineStr">
        <is>
          <t>Report as at 01/10/2026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3" t="n">
        <v>46283</v>
      </c>
      <c r="BQ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5" t="inlineStr">
        <is>
          <t xml:space="preserve">NEW SALES </t>
        </is>
      </c>
      <c r="BO4" s="5" t="inlineStr">
        <is>
          <t>TOTAL SOLD</t>
        </is>
      </c>
      <c r="BP4" s="5" t="inlineStr">
        <is>
          <t>%</t>
        </is>
      </c>
      <c r="BQ4" s="6" t="inlineStr">
        <is>
          <t xml:space="preserve">NEW SALES </t>
        </is>
      </c>
      <c r="BR4" s="6" t="inlineStr">
        <is>
          <t>TOTAL SOLD</t>
        </is>
      </c>
      <c r="BS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0">
        <f>BO5-BL5</f>
        <v/>
      </c>
      <c r="BO5" s="10" t="n">
        <v>214</v>
      </c>
      <c r="BP5" s="11">
        <f>BO5/$D$5</f>
        <v/>
      </c>
      <c r="BQ5" s="12">
        <f>BR5-BO5</f>
        <v/>
      </c>
      <c r="BR5" s="12" t="n">
        <v>229</v>
      </c>
      <c r="BS5" s="13">
        <f>BR5/$D$5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0">
        <f>BO6-BL6</f>
        <v/>
      </c>
      <c r="BO6" s="10" t="n">
        <v>392</v>
      </c>
      <c r="BP6" s="11">
        <f>BO6/$D$6</f>
        <v/>
      </c>
      <c r="BQ6" s="12">
        <f>BR6-BO6</f>
        <v/>
      </c>
      <c r="BR6" s="12" t="n">
        <v>402</v>
      </c>
      <c r="BS6" s="13">
        <f>BR6/$D$6</f>
        <v/>
      </c>
    </row>
    <row r="7">
      <c r="A7" s="7" t="n">
        <v>3</v>
      </c>
      <c r="B7" s="8" t="inlineStr">
        <is>
          <t>ARTE STAR MILANO</t>
        </is>
      </c>
      <c r="C7" s="9" t="n">
        <v>45541</v>
      </c>
      <c r="D7" s="10" t="n">
        <v>1842</v>
      </c>
      <c r="E7" s="7" t="inlineStr">
        <is>
          <t>30590-2,30590-1</t>
        </is>
      </c>
      <c r="F7" s="8" t="inlineStr">
        <is>
          <t>SURIAMEGA DEVELOPMENT</t>
        </is>
      </c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0" t="n"/>
      <c r="AB7" s="10" t="n"/>
      <c r="AC7" s="11" t="n"/>
      <c r="AD7" s="10" t="n"/>
      <c r="AE7" s="10" t="n"/>
      <c r="AF7" s="11" t="n"/>
      <c r="AG7" s="10" t="n"/>
      <c r="AH7" s="10" t="n"/>
      <c r="AI7" s="11" t="n"/>
      <c r="AJ7" s="10" t="n"/>
      <c r="AK7" s="10" t="n"/>
      <c r="AL7" s="11" t="n"/>
      <c r="AM7" s="10" t="n"/>
      <c r="AN7" s="10" t="n"/>
      <c r="AO7" s="11" t="n"/>
      <c r="AP7" s="10" t="n"/>
      <c r="AQ7" s="10" t="n"/>
      <c r="AR7" s="11" t="n"/>
      <c r="AS7" s="10" t="n"/>
      <c r="AT7" s="10" t="n"/>
      <c r="AU7" s="11" t="n"/>
      <c r="AV7" s="10" t="n"/>
      <c r="AW7" s="10" t="n"/>
      <c r="AX7" s="11" t="n"/>
      <c r="AY7" s="10" t="n"/>
      <c r="AZ7" s="10" t="n"/>
      <c r="BA7" s="11" t="n"/>
      <c r="BB7" s="10" t="n"/>
      <c r="BC7" s="10" t="n"/>
      <c r="BD7" s="11" t="n"/>
      <c r="BE7" s="10" t="n"/>
      <c r="BF7" s="10" t="n"/>
      <c r="BG7" s="11" t="n"/>
      <c r="BH7" s="10" t="n"/>
      <c r="BI7" s="10" t="n"/>
      <c r="BJ7" s="11" t="n"/>
      <c r="BK7" s="10" t="n"/>
      <c r="BL7" s="10" t="n"/>
      <c r="BM7" s="11" t="n"/>
      <c r="BN7" s="10" t="n"/>
      <c r="BO7" s="10" t="n"/>
      <c r="BP7" s="11" t="n"/>
      <c r="BQ7" s="12" t="n"/>
      <c r="BR7" s="12" t="n"/>
      <c r="BS7" s="13" t="n"/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0">
        <f>BO8-BL8</f>
        <v/>
      </c>
      <c r="BO8" s="10" t="n">
        <v>1028</v>
      </c>
      <c r="BP8" s="11">
        <f>BO8/$D$8</f>
        <v/>
      </c>
      <c r="BQ8" s="12">
        <f>BR8-BO8</f>
        <v/>
      </c>
      <c r="BR8" s="12" t="n">
        <v>1039</v>
      </c>
      <c r="BS8" s="13">
        <f>BR8/$D$8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0">
        <f>BO9-BL9</f>
        <v/>
      </c>
      <c r="BO9" s="10" t="n">
        <v>1132</v>
      </c>
      <c r="BP9" s="11">
        <f>BO9/$D$9</f>
        <v/>
      </c>
      <c r="BQ9" s="12">
        <f>BR9-BO9</f>
        <v/>
      </c>
      <c r="BR9" s="12" t="n">
        <v>1132</v>
      </c>
      <c r="BS9" s="13">
        <f>BR9/$D$9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0">
        <f>BO10-BL10</f>
        <v/>
      </c>
      <c r="BO10" s="10" t="n">
        <v>530</v>
      </c>
      <c r="BP10" s="11">
        <f>BO10/$D$10</f>
        <v/>
      </c>
      <c r="BQ10" s="12">
        <f>BR10-BO10</f>
        <v/>
      </c>
      <c r="BR10" s="12" t="n">
        <v>535</v>
      </c>
      <c r="BS10" s="13">
        <f>BR10/$D$10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0">
        <f>BO11-BL11</f>
        <v/>
      </c>
      <c r="BO11" s="10" t="n">
        <v>470</v>
      </c>
      <c r="BP11" s="11">
        <f>BO11/$D$11</f>
        <v/>
      </c>
      <c r="BQ11" s="12">
        <f>BR11-BO11</f>
        <v/>
      </c>
      <c r="BR11" s="12" t="n">
        <v>470</v>
      </c>
      <c r="BS11" s="13">
        <f>BR11/$D$11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0">
        <f>BO12-BL12</f>
        <v/>
      </c>
      <c r="BO12" s="10" t="n">
        <v>238</v>
      </c>
      <c r="BP12" s="11">
        <f>BO12/$D$12</f>
        <v/>
      </c>
      <c r="BQ12" s="12">
        <f>BR12-BO12</f>
        <v/>
      </c>
      <c r="BR12" s="12" t="n">
        <v>239</v>
      </c>
      <c r="BS12" s="13">
        <f>BR12/$D$12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0">
        <f>BO13-BL13</f>
        <v/>
      </c>
      <c r="BO13" s="10" t="n">
        <v>677</v>
      </c>
      <c r="BP13" s="11">
        <f>BO13/$D$13</f>
        <v/>
      </c>
      <c r="BQ13" s="12">
        <f>BR13-BO13</f>
        <v/>
      </c>
      <c r="BR13" s="12" t="n">
        <v>684</v>
      </c>
      <c r="BS13" s="13">
        <f>BR13/$D$13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0">
        <f>BO14-BL14</f>
        <v/>
      </c>
      <c r="BO14" s="10" t="n">
        <v>1173</v>
      </c>
      <c r="BP14" s="11">
        <f>BO14/$D$14</f>
        <v/>
      </c>
      <c r="BQ14" s="12">
        <f>BR14-BO14</f>
        <v/>
      </c>
      <c r="BR14" s="12" t="n">
        <v>1179</v>
      </c>
      <c r="BS14" s="13">
        <f>BR14/$D$14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0">
        <f>BO15-BL15</f>
        <v/>
      </c>
      <c r="BO15" s="10" t="n">
        <v>149</v>
      </c>
      <c r="BP15" s="11">
        <f>BO15/$D$15</f>
        <v/>
      </c>
      <c r="BQ15" s="12">
        <f>BR15-BO15</f>
        <v/>
      </c>
      <c r="BR15" s="12" t="n">
        <v>153</v>
      </c>
      <c r="BS15" s="13">
        <f>BR15/$D$15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0">
        <f>BO16-BL16</f>
        <v/>
      </c>
      <c r="BO16" s="10" t="n">
        <v>659</v>
      </c>
      <c r="BP16" s="11">
        <f>BO16/$D$16</f>
        <v/>
      </c>
      <c r="BQ16" s="12">
        <f>BR16-BO16</f>
        <v/>
      </c>
      <c r="BR16" s="12" t="n">
        <v>659</v>
      </c>
      <c r="BS16" s="13">
        <f>BR16/$D$16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0" t="n"/>
      <c r="BO17" s="10" t="n"/>
      <c r="BP17" s="11" t="n"/>
      <c r="BQ17" s="12" t="n"/>
      <c r="BR17" s="12" t="n"/>
      <c r="BS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0">
        <f>BO18-BL18</f>
        <v/>
      </c>
      <c r="BO18" s="10" t="n">
        <v>402</v>
      </c>
      <c r="BP18" s="11">
        <f>BO18/$D$18</f>
        <v/>
      </c>
      <c r="BQ18" s="12">
        <f>BR18-BO18</f>
        <v/>
      </c>
      <c r="BR18" s="12" t="n">
        <v>440</v>
      </c>
      <c r="BS18" s="13">
        <f>BR18/$D$18</f>
        <v/>
      </c>
    </row>
  </sheetData>
  <mergeCells count="22">
    <mergeCell ref="BN3:BP3"/>
    <mergeCell ref="X3:Z3"/>
    <mergeCell ref="AJ3:AL3"/>
    <mergeCell ref="I3:K3"/>
    <mergeCell ref="U3:W3"/>
    <mergeCell ref="BK3:BM3"/>
    <mergeCell ref="BQ3:BS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2026-10-01T08:32:59Z</dcterms:created>
  <dcterms:modified xsi:type="dcterms:W3CDTF">2026-10-01T08:32:59Z</dcterms:modified>
</cp:coreProperties>
</file>