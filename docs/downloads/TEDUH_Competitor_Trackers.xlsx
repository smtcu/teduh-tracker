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ni" sheetId="1" state="visible" r:id="rId1"/>
    <sheet name="Avaland" sheetId="2" state="visible" r:id="rId2"/>
    <sheet name="Binastra" sheetId="3" state="visible" r:id="rId3"/>
    <sheet name="BRDB" sheetId="4" state="visible" r:id="rId4"/>
    <sheet name="Chin Hin" sheetId="5" state="visible" r:id="rId5"/>
    <sheet name="CPI Land" sheetId="6" state="visible" r:id="rId6"/>
    <sheet name="Ecoworld" sheetId="7" state="visible" r:id="rId7"/>
    <sheet name="Exsim" sheetId="8" state="visible" r:id="rId8"/>
    <sheet name="KSL" sheetId="9" state="visible" r:id="rId9"/>
    <sheet name="Lagenda" sheetId="10" state="visible" r:id="rId10"/>
    <sheet name="LBS" sheetId="11" state="visible" r:id="rId11"/>
    <sheet name="Mah Sing" sheetId="12" state="visible" r:id="rId12"/>
    <sheet name="Majestic Gen" sheetId="13" state="visible" r:id="rId13"/>
    <sheet name="Malton" sheetId="14" state="visible" r:id="rId14"/>
    <sheet name="Maxim" sheetId="15" state="visible" r:id="rId15"/>
    <sheet name="MB World" sheetId="16" state="visible" r:id="rId16"/>
    <sheet name="Myra" sheetId="17" state="visible" r:id="rId17"/>
    <sheet name="Platinum Victory" sheetId="18" state="visible" r:id="rId18"/>
    <sheet name="Radium" sheetId="19" state="visible" r:id="rId19"/>
    <sheet name="Scientex" sheetId="20" state="visible" r:id="rId20"/>
    <sheet name="Setia Awan" sheetId="21" state="visible" r:id="rId21"/>
    <sheet name="Sime Darby" sheetId="22" state="visible" r:id="rId22"/>
    <sheet name="SKS" sheetId="23" state="visible" r:id="rId23"/>
    <sheet name="Skyworld" sheetId="24" state="visible" r:id="rId24"/>
    <sheet name="SP Setia" sheetId="25" state="visible" r:id="rId25"/>
    <sheet name="Trinity Group" sheetId="26" state="visible" r:id="rId26"/>
    <sheet name="TS Law" sheetId="27" state="visible" r:id="rId27"/>
    <sheet name="UEM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2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(ARMANI)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Alderwood Residence</t>
        </is>
      </c>
      <c r="C5" s="9" t="n">
        <v>46028</v>
      </c>
      <c r="D5" s="10" t="n">
        <v>186</v>
      </c>
      <c r="E5" s="7" t="inlineStr">
        <is>
          <t>31112-1</t>
        </is>
      </c>
      <c r="F5" s="8" t="inlineStr">
        <is>
          <t>GOLDEN ALDERWOOD PROPERTIES SDN. BHD.</t>
        </is>
      </c>
      <c r="G5" s="10" t="n"/>
      <c r="H5" s="10" t="n">
        <v>58</v>
      </c>
      <c r="I5" s="11">
        <f>H5/$D$5</f>
        <v/>
      </c>
      <c r="J5" s="10">
        <f>K5-H5</f>
        <v/>
      </c>
      <c r="K5" s="10" t="n">
        <v>57</v>
      </c>
      <c r="L5" s="11">
        <f>K5/$D$5</f>
        <v/>
      </c>
      <c r="M5" s="10">
        <f>N5-K5</f>
        <v/>
      </c>
      <c r="N5" s="10" t="n">
        <v>86</v>
      </c>
      <c r="O5" s="11">
        <f>N5/$D$5</f>
        <v/>
      </c>
      <c r="P5" s="10">
        <f>Q5-N5</f>
        <v/>
      </c>
      <c r="Q5" s="10" t="n">
        <v>86</v>
      </c>
      <c r="R5" s="11">
        <f>Q5/$D$5</f>
        <v/>
      </c>
      <c r="S5" s="10">
        <f>T5-Q5</f>
        <v/>
      </c>
      <c r="T5" s="10" t="n">
        <v>87</v>
      </c>
      <c r="U5" s="11">
        <f>T5/$D$5</f>
        <v/>
      </c>
      <c r="V5" s="12">
        <f>W5-T5</f>
        <v/>
      </c>
      <c r="W5" s="12" t="n">
        <v>87</v>
      </c>
      <c r="X5" s="13">
        <f>W5/$D$5</f>
        <v/>
      </c>
      <c r="Y5" s="8" t="inlineStr"/>
    </row>
    <row r="6">
      <c r="A6" s="7" t="n">
        <v>2</v>
      </c>
      <c r="B6" s="8" t="inlineStr">
        <is>
          <t>Armani Avani</t>
        </is>
      </c>
      <c r="C6" s="9" t="n">
        <v>46086</v>
      </c>
      <c r="D6" s="10" t="n">
        <v>328</v>
      </c>
      <c r="E6" s="7" t="inlineStr">
        <is>
          <t>30135-3</t>
        </is>
      </c>
      <c r="F6" s="8" t="inlineStr">
        <is>
          <t>ARMANI DEVELOPMENT SDN. BHD.</t>
        </is>
      </c>
      <c r="G6" s="10" t="n"/>
      <c r="H6" s="10" t="n">
        <v>72</v>
      </c>
      <c r="I6" s="11">
        <f>H6/$D$6</f>
        <v/>
      </c>
      <c r="J6" s="10">
        <f>K6-H6</f>
        <v/>
      </c>
      <c r="K6" s="10" t="n">
        <v>76</v>
      </c>
      <c r="L6" s="11">
        <f>K6/$D$6</f>
        <v/>
      </c>
      <c r="M6" s="10">
        <f>N6-K6</f>
        <v/>
      </c>
      <c r="N6" s="10" t="n">
        <v>80</v>
      </c>
      <c r="O6" s="11">
        <f>N6/$D$6</f>
        <v/>
      </c>
      <c r="P6" s="10">
        <f>Q6-N6</f>
        <v/>
      </c>
      <c r="Q6" s="10" t="n">
        <v>85</v>
      </c>
      <c r="R6" s="11">
        <f>Q6/$D$6</f>
        <v/>
      </c>
      <c r="S6" s="10">
        <f>T6-Q6</f>
        <v/>
      </c>
      <c r="T6" s="10" t="n">
        <v>89</v>
      </c>
      <c r="U6" s="11">
        <f>T6/$D$6</f>
        <v/>
      </c>
      <c r="V6" s="12">
        <f>W6-T6</f>
        <v/>
      </c>
      <c r="W6" s="12" t="n">
        <v>92</v>
      </c>
      <c r="X6" s="13">
        <f>W6/$D$6</f>
        <v/>
      </c>
      <c r="Y6" s="8" t="inlineStr"/>
    </row>
    <row r="7">
      <c r="A7" s="7" t="n">
        <v>3</v>
      </c>
      <c r="B7" s="8" t="inlineStr">
        <is>
          <t>Armani Business Park</t>
        </is>
      </c>
      <c r="C7" s="9" t="n">
        <v>45632</v>
      </c>
      <c r="D7" s="10" t="n">
        <v>44</v>
      </c>
      <c r="E7" s="7" t="inlineStr">
        <is>
          <t>30705-2</t>
        </is>
      </c>
      <c r="F7" s="8" t="inlineStr">
        <is>
          <t>USAHA MULIA SDN. BHD.</t>
        </is>
      </c>
      <c r="G7" s="10" t="n"/>
      <c r="H7" s="10" t="n">
        <v>2</v>
      </c>
      <c r="I7" s="11">
        <f>H7/$D$7</f>
        <v/>
      </c>
      <c r="J7" s="10">
        <f>K7-H7</f>
        <v/>
      </c>
      <c r="K7" s="10" t="n">
        <v>2</v>
      </c>
      <c r="L7" s="11">
        <f>K7/$D$7</f>
        <v/>
      </c>
      <c r="M7" s="10">
        <f>N7-K7</f>
        <v/>
      </c>
      <c r="N7" s="10" t="n">
        <v>2</v>
      </c>
      <c r="O7" s="11">
        <f>N7/$D$7</f>
        <v/>
      </c>
      <c r="P7" s="10">
        <f>Q7-N7</f>
        <v/>
      </c>
      <c r="Q7" s="10" t="n">
        <v>2</v>
      </c>
      <c r="R7" s="11">
        <f>Q7/$D$7</f>
        <v/>
      </c>
      <c r="S7" s="10">
        <f>T7-Q7</f>
        <v/>
      </c>
      <c r="T7" s="10" t="n">
        <v>2</v>
      </c>
      <c r="U7" s="11">
        <f>T7/$D$7</f>
        <v/>
      </c>
      <c r="V7" s="12">
        <f>W7-T7</f>
        <v/>
      </c>
      <c r="W7" s="12" t="n">
        <v>2</v>
      </c>
      <c r="X7" s="13">
        <f>W7/$D$7</f>
        <v/>
      </c>
      <c r="Y7" s="8" t="inlineStr"/>
    </row>
    <row r="8">
      <c r="A8" s="7" t="n">
        <v>4</v>
      </c>
      <c r="B8" s="8" t="inlineStr">
        <is>
          <t>Armani Cameron Residence</t>
        </is>
      </c>
      <c r="C8" s="9" t="n">
        <v>45790</v>
      </c>
      <c r="D8" s="10" t="n">
        <v>232</v>
      </c>
      <c r="E8" s="7" t="inlineStr">
        <is>
          <t>30273-1,30273-2</t>
        </is>
      </c>
      <c r="F8" s="8" t="inlineStr"/>
      <c r="G8" s="10" t="n"/>
      <c r="H8" s="10" t="n">
        <v>112</v>
      </c>
      <c r="I8" s="11">
        <f>H8/$D$8</f>
        <v/>
      </c>
      <c r="J8" s="10">
        <f>K8-H8</f>
        <v/>
      </c>
      <c r="K8" s="10" t="n">
        <v>112</v>
      </c>
      <c r="L8" s="11">
        <f>K8/$D$8</f>
        <v/>
      </c>
      <c r="M8" s="10">
        <f>N8-K8</f>
        <v/>
      </c>
      <c r="N8" s="10" t="n">
        <v>115</v>
      </c>
      <c r="O8" s="11">
        <f>N8/$D$8</f>
        <v/>
      </c>
      <c r="P8" s="10">
        <f>Q8-N8</f>
        <v/>
      </c>
      <c r="Q8" s="10" t="n">
        <v>116</v>
      </c>
      <c r="R8" s="11">
        <f>Q8/$D$8</f>
        <v/>
      </c>
      <c r="S8" s="10">
        <f>T8-Q8</f>
        <v/>
      </c>
      <c r="T8" s="10" t="n">
        <v>116</v>
      </c>
      <c r="U8" s="11">
        <f>T8/$D$8</f>
        <v/>
      </c>
      <c r="V8" s="12">
        <f>W8-T8</f>
        <v/>
      </c>
      <c r="W8" s="12" t="n">
        <v>116</v>
      </c>
      <c r="X8" s="13">
        <f>W8/$D$8</f>
        <v/>
      </c>
      <c r="Y8" s="8" t="inlineStr"/>
    </row>
    <row r="9">
      <c r="A9" s="7" t="n">
        <v>5</v>
      </c>
      <c r="B9" s="8" t="inlineStr">
        <is>
          <t>Armani Hallson KLCC</t>
        </is>
      </c>
      <c r="C9" s="9" t="n">
        <v>45820</v>
      </c>
      <c r="D9" s="10" t="n">
        <v>2215</v>
      </c>
      <c r="E9" s="7" t="inlineStr">
        <is>
          <t>30256-2</t>
        </is>
      </c>
      <c r="F9" s="8" t="inlineStr">
        <is>
          <t>ARMANI HALLSON KLCC SDN. BHD.</t>
        </is>
      </c>
      <c r="G9" s="10" t="n"/>
      <c r="H9" s="10" t="n">
        <v>1006</v>
      </c>
      <c r="I9" s="11">
        <f>H9/$D$9</f>
        <v/>
      </c>
      <c r="J9" s="10">
        <f>K9-H9</f>
        <v/>
      </c>
      <c r="K9" s="10" t="n">
        <v>1016</v>
      </c>
      <c r="L9" s="11">
        <f>K9/$D$9</f>
        <v/>
      </c>
      <c r="M9" s="10">
        <f>N9-K9</f>
        <v/>
      </c>
      <c r="N9" s="10" t="n">
        <v>1018</v>
      </c>
      <c r="O9" s="11">
        <f>N9/$D$9</f>
        <v/>
      </c>
      <c r="P9" s="10">
        <f>Q9-N9</f>
        <v/>
      </c>
      <c r="Q9" s="10" t="n">
        <v>1031</v>
      </c>
      <c r="R9" s="11">
        <f>Q9/$D$9</f>
        <v/>
      </c>
      <c r="S9" s="10">
        <f>T9-Q9</f>
        <v/>
      </c>
      <c r="T9" s="10" t="n">
        <v>1043</v>
      </c>
      <c r="U9" s="11">
        <f>T9/$D$9</f>
        <v/>
      </c>
      <c r="V9" s="12">
        <f>W9-T9</f>
        <v/>
      </c>
      <c r="W9" s="12" t="n">
        <v>1049</v>
      </c>
      <c r="X9" s="13">
        <f>W9/$D$9</f>
        <v/>
      </c>
      <c r="Y9" s="8" t="inlineStr">
        <is>
          <t>Latest sales - Block A: 413 units, Block B: 376 units, Block C: 260 units</t>
        </is>
      </c>
    </row>
    <row r="10">
      <c r="A10" s="7" t="n">
        <v>6</v>
      </c>
      <c r="B10" s="8" t="inlineStr">
        <is>
          <t>Armani Residence Setia Alam</t>
        </is>
      </c>
      <c r="C10" s="9" t="n">
        <v>45561</v>
      </c>
      <c r="D10" s="10" t="n">
        <v>648</v>
      </c>
      <c r="E10" s="7" t="inlineStr">
        <is>
          <t>30727-1</t>
        </is>
      </c>
      <c r="F10" s="8" t="inlineStr"/>
      <c r="G10" s="10" t="n"/>
      <c r="H10" s="10" t="n">
        <v>573</v>
      </c>
      <c r="I10" s="11">
        <f>H10/$D$10</f>
        <v/>
      </c>
      <c r="J10" s="10">
        <f>K10-H10</f>
        <v/>
      </c>
      <c r="K10" s="10" t="n">
        <v>574</v>
      </c>
      <c r="L10" s="11">
        <f>K10/$D$10</f>
        <v/>
      </c>
      <c r="M10" s="10">
        <f>N10-K10</f>
        <v/>
      </c>
      <c r="N10" s="10" t="n">
        <v>574</v>
      </c>
      <c r="O10" s="11">
        <f>N10/$D$10</f>
        <v/>
      </c>
      <c r="P10" s="10">
        <f>Q10-N10</f>
        <v/>
      </c>
      <c r="Q10" s="10" t="n">
        <v>576</v>
      </c>
      <c r="R10" s="11">
        <f>Q10/$D$10</f>
        <v/>
      </c>
      <c r="S10" s="10">
        <f>T10-Q10</f>
        <v/>
      </c>
      <c r="T10" s="10" t="n">
        <v>576</v>
      </c>
      <c r="U10" s="11">
        <f>T10/$D$10</f>
        <v/>
      </c>
      <c r="V10" s="12">
        <f>W10-T10</f>
        <v/>
      </c>
      <c r="W10" s="12" t="n">
        <v>578</v>
      </c>
      <c r="X10" s="13">
        <f>W10/$D$10</f>
        <v/>
      </c>
      <c r="Y10" s="8" t="inlineStr">
        <is>
          <t>Latest sales - Block A: 97 units, Block B: 481 units</t>
        </is>
      </c>
    </row>
    <row r="11">
      <c r="A11" s="7" t="n">
        <v>7</v>
      </c>
      <c r="B11" s="8" t="inlineStr">
        <is>
          <t>Armani Residence Setia Alam 2</t>
        </is>
      </c>
      <c r="C11" s="9" t="n">
        <v>46162</v>
      </c>
      <c r="D11" s="10" t="n">
        <v>998</v>
      </c>
      <c r="E11" s="7" t="inlineStr">
        <is>
          <t>30727-2</t>
        </is>
      </c>
      <c r="F11" s="8" t="inlineStr"/>
      <c r="G11" s="10" t="n"/>
      <c r="H11" s="10" t="n">
        <v>284</v>
      </c>
      <c r="I11" s="11">
        <f>H11/$D$11</f>
        <v/>
      </c>
      <c r="J11" s="10">
        <f>K11-H11</f>
        <v/>
      </c>
      <c r="K11" s="10" t="n">
        <v>289</v>
      </c>
      <c r="L11" s="11">
        <f>K11/$D$11</f>
        <v/>
      </c>
      <c r="M11" s="10">
        <f>N11-K11</f>
        <v/>
      </c>
      <c r="N11" s="10" t="n">
        <v>296</v>
      </c>
      <c r="O11" s="11">
        <f>N11/$D$11</f>
        <v/>
      </c>
      <c r="P11" s="10">
        <f>Q11-N11</f>
        <v/>
      </c>
      <c r="Q11" s="10" t="n">
        <v>309</v>
      </c>
      <c r="R11" s="11">
        <f>Q11/$D$11</f>
        <v/>
      </c>
      <c r="S11" s="10">
        <f>T11-Q11</f>
        <v/>
      </c>
      <c r="T11" s="10" t="n">
        <v>319</v>
      </c>
      <c r="U11" s="11">
        <f>T11/$D$11</f>
        <v/>
      </c>
      <c r="V11" s="12">
        <f>W11-T11</f>
        <v/>
      </c>
      <c r="W11" s="12" t="n">
        <v>344</v>
      </c>
      <c r="X11" s="13">
        <f>W11/$D$11</f>
        <v/>
      </c>
      <c r="Y11" s="8" t="inlineStr">
        <is>
          <t>Latest sales - Block A: 100 units, Block B: 244 units</t>
        </is>
      </c>
    </row>
    <row r="12">
      <c r="A12" s="7" t="n">
        <v>8</v>
      </c>
      <c r="B12" s="8" t="inlineStr">
        <is>
          <t>Armani Residence Shah Alam</t>
        </is>
      </c>
      <c r="C12" s="9" t="n">
        <v>45303</v>
      </c>
      <c r="D12" s="10" t="n">
        <v>338</v>
      </c>
      <c r="E12" s="7" t="inlineStr">
        <is>
          <t>30339-1</t>
        </is>
      </c>
      <c r="F12" s="8" t="inlineStr">
        <is>
          <t>ARMANI ALLIANCE SDN. BHD.</t>
        </is>
      </c>
      <c r="G12" s="10" t="n"/>
      <c r="H12" s="10" t="n">
        <v>331</v>
      </c>
      <c r="I12" s="11">
        <f>H12/$D$12</f>
        <v/>
      </c>
      <c r="J12" s="10">
        <f>K12-H12</f>
        <v/>
      </c>
      <c r="K12" s="10" t="n">
        <v>331</v>
      </c>
      <c r="L12" s="11">
        <f>K12/$D$12</f>
        <v/>
      </c>
      <c r="M12" s="10">
        <f>N12-K12</f>
        <v/>
      </c>
      <c r="N12" s="10" t="n">
        <v>331</v>
      </c>
      <c r="O12" s="11">
        <f>N12/$D$12</f>
        <v/>
      </c>
      <c r="P12" s="10">
        <f>Q12-N12</f>
        <v/>
      </c>
      <c r="Q12" s="10" t="n">
        <v>331</v>
      </c>
      <c r="R12" s="11">
        <f>Q12/$D$12</f>
        <v/>
      </c>
      <c r="S12" s="10">
        <f>T12-Q12</f>
        <v/>
      </c>
      <c r="T12" s="10" t="n">
        <v>331</v>
      </c>
      <c r="U12" s="11">
        <f>T12/$D$12</f>
        <v/>
      </c>
      <c r="V12" s="12">
        <f>W12-T12</f>
        <v/>
      </c>
      <c r="W12" s="12" t="n">
        <v>331</v>
      </c>
      <c r="X12" s="13">
        <f>W12/$D$12</f>
        <v/>
      </c>
      <c r="Y12" s="8" t="inlineStr"/>
    </row>
    <row r="13">
      <c r="A13" s="7" t="n">
        <v>9</v>
      </c>
      <c r="B13" s="8" t="inlineStr">
        <is>
          <t>Armani Signature Residence</t>
        </is>
      </c>
      <c r="C13" s="9" t="n">
        <v>45252</v>
      </c>
      <c r="D13" s="10" t="n">
        <v>315</v>
      </c>
      <c r="E13" s="7" t="inlineStr">
        <is>
          <t>13975-5</t>
        </is>
      </c>
      <c r="F13" s="8" t="inlineStr">
        <is>
          <t>GOLDEN ARMANI SDN. BHD.</t>
        </is>
      </c>
      <c r="G13" s="10" t="n"/>
      <c r="H13" s="10" t="n">
        <v>266</v>
      </c>
      <c r="I13" s="11">
        <f>H13/$D$13</f>
        <v/>
      </c>
      <c r="J13" s="10">
        <f>K13-H13</f>
        <v/>
      </c>
      <c r="K13" s="10" t="n">
        <v>268</v>
      </c>
      <c r="L13" s="11">
        <f>K13/$D$13</f>
        <v/>
      </c>
      <c r="M13" s="10">
        <f>N13-K13</f>
        <v/>
      </c>
      <c r="N13" s="10" t="n">
        <v>269</v>
      </c>
      <c r="O13" s="11">
        <f>N13/$D$13</f>
        <v/>
      </c>
      <c r="P13" s="10">
        <f>Q13-N13</f>
        <v/>
      </c>
      <c r="Q13" s="10" t="n">
        <v>270</v>
      </c>
      <c r="R13" s="11">
        <f>Q13/$D$13</f>
        <v/>
      </c>
      <c r="S13" s="10">
        <f>T13-Q13</f>
        <v/>
      </c>
      <c r="T13" s="10" t="n">
        <v>271</v>
      </c>
      <c r="U13" s="11">
        <f>T13/$D$13</f>
        <v/>
      </c>
      <c r="V13" s="12">
        <f>W13-T13</f>
        <v/>
      </c>
      <c r="W13" s="12" t="n">
        <v>272</v>
      </c>
      <c r="X13" s="13">
        <f>W13/$D$13</f>
        <v/>
      </c>
      <c r="Y13" s="8" t="inlineStr">
        <is>
          <t>Latest sales - Block 1: 89 units, Block 2: 83 units, Block 3: 100 units</t>
        </is>
      </c>
    </row>
    <row r="14">
      <c r="A14" s="7" t="n">
        <v>10</v>
      </c>
      <c r="B14" s="8" t="inlineStr">
        <is>
          <t>Lofthill Residence</t>
        </is>
      </c>
      <c r="C14" s="9" t="n">
        <v>45506</v>
      </c>
      <c r="D14" s="10" t="n">
        <v>653</v>
      </c>
      <c r="E14" s="7" t="inlineStr">
        <is>
          <t>30641-1</t>
        </is>
      </c>
      <c r="F14" s="8" t="inlineStr">
        <is>
          <t>LOFTHILL DEVELOPMENT SDN. BHD.</t>
        </is>
      </c>
      <c r="G14" s="10" t="n"/>
      <c r="H14" s="10" t="n">
        <v>647</v>
      </c>
      <c r="I14" s="11">
        <f>H14/$D$14</f>
        <v/>
      </c>
      <c r="J14" s="10">
        <f>K14-H14</f>
        <v/>
      </c>
      <c r="K14" s="10" t="n">
        <v>647</v>
      </c>
      <c r="L14" s="11">
        <f>K14/$D$14</f>
        <v/>
      </c>
      <c r="M14" s="10">
        <f>N14-K14</f>
        <v/>
      </c>
      <c r="N14" s="10" t="n">
        <v>647</v>
      </c>
      <c r="O14" s="11">
        <f>N14/$D$14</f>
        <v/>
      </c>
      <c r="P14" s="10">
        <f>Q14-N14</f>
        <v/>
      </c>
      <c r="Q14" s="10" t="n">
        <v>647</v>
      </c>
      <c r="R14" s="11">
        <f>Q14/$D$14</f>
        <v/>
      </c>
      <c r="S14" s="10">
        <f>T14-Q14</f>
        <v/>
      </c>
      <c r="T14" s="10" t="n">
        <v>647</v>
      </c>
      <c r="U14" s="11">
        <f>T14/$D$14</f>
        <v/>
      </c>
      <c r="V14" s="12">
        <f>W14-T14</f>
        <v/>
      </c>
      <c r="W14" s="12" t="n">
        <v>647</v>
      </c>
      <c r="X14" s="13">
        <f>W14/$D$14</f>
        <v/>
      </c>
      <c r="Y14" s="8" t="inlineStr"/>
    </row>
    <row r="15">
      <c r="A15" s="7" t="n">
        <v>11</v>
      </c>
      <c r="B15" s="8" t="inlineStr">
        <is>
          <t>Residensi Armani Kg Baru 1</t>
        </is>
      </c>
      <c r="C15" s="9" t="n">
        <v>45632</v>
      </c>
      <c r="D15" s="10" t="n">
        <v>387</v>
      </c>
      <c r="E15" s="7" t="inlineStr">
        <is>
          <t>13975-6</t>
        </is>
      </c>
      <c r="F15" s="8" t="inlineStr">
        <is>
          <t>GOLDEN ARMANI SDN. BHD.</t>
        </is>
      </c>
      <c r="G15" s="10" t="n"/>
      <c r="H15" s="10" t="n">
        <v>384</v>
      </c>
      <c r="I15" s="11">
        <f>H15/$D$15</f>
        <v/>
      </c>
      <c r="J15" s="10">
        <f>K15-H15</f>
        <v/>
      </c>
      <c r="K15" s="10" t="n">
        <v>384</v>
      </c>
      <c r="L15" s="11">
        <f>K15/$D$15</f>
        <v/>
      </c>
      <c r="M15" s="10">
        <f>N15-K15</f>
        <v/>
      </c>
      <c r="N15" s="10" t="n">
        <v>384</v>
      </c>
      <c r="O15" s="11">
        <f>N15/$D$15</f>
        <v/>
      </c>
      <c r="P15" s="10">
        <f>Q15-N15</f>
        <v/>
      </c>
      <c r="Q15" s="10" t="n">
        <v>384</v>
      </c>
      <c r="R15" s="11">
        <f>Q15/$D$15</f>
        <v/>
      </c>
      <c r="S15" s="10">
        <f>T15-Q15</f>
        <v/>
      </c>
      <c r="T15" s="10" t="n">
        <v>384</v>
      </c>
      <c r="U15" s="11">
        <f>T15/$D$15</f>
        <v/>
      </c>
      <c r="V15" s="12">
        <f>W15-T15</f>
        <v/>
      </c>
      <c r="W15" s="12" t="n">
        <v>384</v>
      </c>
      <c r="X15" s="13">
        <f>W15/$D$15</f>
        <v/>
      </c>
      <c r="Y15" s="8" t="inlineStr"/>
    </row>
    <row r="16">
      <c r="A16" s="7" t="n">
        <v>12</v>
      </c>
      <c r="B16" s="8" t="inlineStr">
        <is>
          <t>Residensi Armani Putra</t>
        </is>
      </c>
      <c r="C16" s="9" t="n">
        <v>46183</v>
      </c>
      <c r="D16" s="10" t="n">
        <v>984</v>
      </c>
      <c r="E16" s="7" t="inlineStr">
        <is>
          <t>30799-1</t>
        </is>
      </c>
      <c r="F16" s="8" t="inlineStr">
        <is>
          <t>GOLDEN CHAIN DEVELOPMENT SDN. BHD.</t>
        </is>
      </c>
      <c r="G16" s="10" t="n"/>
      <c r="H16" s="10" t="n">
        <v>29</v>
      </c>
      <c r="I16" s="11">
        <f>H16/$D$16</f>
        <v/>
      </c>
      <c r="J16" s="10">
        <f>K16-H16</f>
        <v/>
      </c>
      <c r="K16" s="10" t="n">
        <v>34</v>
      </c>
      <c r="L16" s="11">
        <f>K16/$D$16</f>
        <v/>
      </c>
      <c r="M16" s="10">
        <f>N16-K16</f>
        <v/>
      </c>
      <c r="N16" s="10" t="n">
        <v>39</v>
      </c>
      <c r="O16" s="11">
        <f>N16/$D$16</f>
        <v/>
      </c>
      <c r="P16" s="10">
        <f>Q16-N16</f>
        <v/>
      </c>
      <c r="Q16" s="10" t="n">
        <v>44</v>
      </c>
      <c r="R16" s="11">
        <f>Q16/$D$16</f>
        <v/>
      </c>
      <c r="S16" s="10">
        <f>T16-Q16</f>
        <v/>
      </c>
      <c r="T16" s="10" t="n">
        <v>49</v>
      </c>
      <c r="U16" s="11">
        <f>T16/$D$16</f>
        <v/>
      </c>
      <c r="V16" s="12">
        <f>W16-T16</f>
        <v/>
      </c>
      <c r="W16" s="12" t="n">
        <v>51</v>
      </c>
      <c r="X16" s="13">
        <f>W16/$D$16</f>
        <v/>
      </c>
      <c r="Y16" s="8" t="inlineStr">
        <is>
          <t>Latest sales - Block A: 18 units, Block B: 33 units</t>
        </is>
      </c>
    </row>
    <row r="17">
      <c r="A17" s="7" t="n">
        <v>13</v>
      </c>
      <c r="B17" s="8" t="inlineStr">
        <is>
          <t>Taman Bukit Tualang 2</t>
        </is>
      </c>
      <c r="C17" s="9" t="n">
        <v>46238</v>
      </c>
      <c r="D17" s="10" t="n">
        <v>30</v>
      </c>
      <c r="E17" s="7" t="inlineStr">
        <is>
          <t>30393-1</t>
        </is>
      </c>
      <c r="F17" s="8" t="inlineStr">
        <is>
          <t>GOLDEN ARMANI DEVELOPMENT SDN. BHD.</t>
        </is>
      </c>
      <c r="G17" s="10" t="n"/>
      <c r="H17" s="10" t="n">
        <v>0</v>
      </c>
      <c r="I17" s="11">
        <f>H17/$D$17</f>
        <v/>
      </c>
      <c r="J17" s="10">
        <f>K17-H17</f>
        <v/>
      </c>
      <c r="K17" s="10" t="n">
        <v>0</v>
      </c>
      <c r="L17" s="11">
        <f>K17/$D$17</f>
        <v/>
      </c>
      <c r="M17" s="10">
        <f>N17-K17</f>
        <v/>
      </c>
      <c r="N17" s="10" t="n">
        <v>0</v>
      </c>
      <c r="O17" s="11">
        <f>N17/$D$17</f>
        <v/>
      </c>
      <c r="P17" s="10">
        <f>Q17-N17</f>
        <v/>
      </c>
      <c r="Q17" s="10" t="n">
        <v>0</v>
      </c>
      <c r="R17" s="11">
        <f>Q17/$D$17</f>
        <v/>
      </c>
      <c r="S17" s="10">
        <f>T17-Q17</f>
        <v/>
      </c>
      <c r="T17" s="10" t="n">
        <v>0</v>
      </c>
      <c r="U17" s="11">
        <f>T17/$D$17</f>
        <v/>
      </c>
      <c r="V17" s="12">
        <f>W17-T17</f>
        <v/>
      </c>
      <c r="W17" s="12" t="n">
        <v>0</v>
      </c>
      <c r="X17" s="13">
        <f>W17/$D$17</f>
        <v/>
      </c>
      <c r="Y17" s="8" t="inlineStr"/>
    </row>
    <row r="18">
      <c r="A18" s="7" t="n">
        <v>14</v>
      </c>
      <c r="B18" s="8" t="inlineStr">
        <is>
          <t>Armani Prestige</t>
        </is>
      </c>
      <c r="C18" s="9" t="n">
        <v>45862</v>
      </c>
      <c r="D18" s="10" t="n">
        <v>280</v>
      </c>
      <c r="E18" s="7" t="inlineStr">
        <is>
          <t>30135-2</t>
        </is>
      </c>
      <c r="F18" s="8" t="inlineStr"/>
      <c r="G18" s="10" t="n"/>
      <c r="H18" s="10" t="n">
        <v>96</v>
      </c>
      <c r="I18" s="11">
        <f>H18/$D$18</f>
        <v/>
      </c>
      <c r="J18" s="10">
        <f>K18-H18</f>
        <v/>
      </c>
      <c r="K18" s="10" t="n">
        <v>97</v>
      </c>
      <c r="L18" s="11">
        <f>K18/$D$18</f>
        <v/>
      </c>
      <c r="M18" s="10">
        <f>N18-K18</f>
        <v/>
      </c>
      <c r="N18" s="10" t="n">
        <v>97</v>
      </c>
      <c r="O18" s="11">
        <f>N18/$D$18</f>
        <v/>
      </c>
      <c r="P18" s="10">
        <f>Q18-N18</f>
        <v/>
      </c>
      <c r="Q18" s="10" t="n">
        <v>98</v>
      </c>
      <c r="R18" s="11">
        <f>Q18/$D$18</f>
        <v/>
      </c>
      <c r="S18" s="10">
        <f>T18-Q18</f>
        <v/>
      </c>
      <c r="T18" s="10" t="n">
        <v>100</v>
      </c>
      <c r="U18" s="11">
        <f>T18/$D$18</f>
        <v/>
      </c>
      <c r="V18" s="12">
        <f>W18-T18</f>
        <v/>
      </c>
      <c r="W18" s="12" t="n">
        <v>101</v>
      </c>
      <c r="X18" s="13">
        <f>W18/$D$18</f>
        <v/>
      </c>
      <c r="Y18" s="8" t="inlineStr"/>
    </row>
    <row r="19">
      <c r="A19" s="7" t="n">
        <v>15</v>
      </c>
      <c r="B19" s="8" t="inlineStr">
        <is>
          <t>Taman PMINT Tebing Tembah 2</t>
        </is>
      </c>
      <c r="C19" s="9" t="n">
        <v>45167</v>
      </c>
      <c r="D19" s="10" t="n">
        <v>116</v>
      </c>
      <c r="E19" s="7" t="inlineStr">
        <is>
          <t>13970-3</t>
        </is>
      </c>
      <c r="F19" s="8" t="inlineStr"/>
      <c r="G19" s="10" t="n"/>
      <c r="H19" s="10" t="n">
        <v>81</v>
      </c>
      <c r="I19" s="11">
        <f>H19/$D$19</f>
        <v/>
      </c>
      <c r="J19" s="10">
        <f>K19-H19</f>
        <v/>
      </c>
      <c r="K19" s="10" t="n">
        <v>82</v>
      </c>
      <c r="L19" s="11">
        <f>K19/$D$19</f>
        <v/>
      </c>
      <c r="M19" s="10">
        <f>N19-K19</f>
        <v/>
      </c>
      <c r="N19" s="10" t="n">
        <v>82</v>
      </c>
      <c r="O19" s="11">
        <f>N19/$D$19</f>
        <v/>
      </c>
      <c r="P19" s="10">
        <f>Q19-N19</f>
        <v/>
      </c>
      <c r="Q19" s="10" t="n">
        <v>85</v>
      </c>
      <c r="R19" s="11">
        <f>Q19/$D$19</f>
        <v/>
      </c>
      <c r="S19" s="10">
        <f>T19-Q19</f>
        <v/>
      </c>
      <c r="T19" s="10" t="n">
        <v>85</v>
      </c>
      <c r="U19" s="11">
        <f>T19/$D$19</f>
        <v/>
      </c>
      <c r="V19" s="12">
        <f>W19-T19</f>
        <v/>
      </c>
      <c r="W19" s="12" t="n">
        <v>85</v>
      </c>
      <c r="X19" s="13">
        <f>W19/$D$19</f>
        <v/>
      </c>
      <c r="Y19" s="8" t="inlineStr"/>
    </row>
    <row r="20">
      <c r="A20" s="7" t="n">
        <v>16</v>
      </c>
      <c r="B20" s="8" t="inlineStr">
        <is>
          <t>Residensi Madani Mawar</t>
        </is>
      </c>
      <c r="C20" s="9" t="n">
        <v>46211</v>
      </c>
      <c r="D20" s="10" t="n">
        <v>600</v>
      </c>
      <c r="E20" s="7" t="inlineStr">
        <is>
          <t>13975-7</t>
        </is>
      </c>
      <c r="F20" s="8" t="inlineStr">
        <is>
          <t>GOLDEN ARMANI SDN. BHD.</t>
        </is>
      </c>
      <c r="G20" s="10" t="n"/>
      <c r="H20" s="10" t="n"/>
      <c r="I20" s="11" t="n"/>
      <c r="J20" s="10" t="n"/>
      <c r="K20" s="10" t="n"/>
      <c r="L20" s="11" t="n"/>
      <c r="M20" s="10" t="n"/>
      <c r="N20" s="10" t="n">
        <v>0</v>
      </c>
      <c r="O20" s="11">
        <f>N20/$D$20</f>
        <v/>
      </c>
      <c r="P20" s="10">
        <f>Q20-N20</f>
        <v/>
      </c>
      <c r="Q20" s="10" t="n">
        <v>0</v>
      </c>
      <c r="R20" s="11">
        <f>Q20/$D$20</f>
        <v/>
      </c>
      <c r="S20" s="10">
        <f>T20-Q20</f>
        <v/>
      </c>
      <c r="T20" s="10" t="n">
        <v>0</v>
      </c>
      <c r="U20" s="11">
        <f>T20/$D$20</f>
        <v/>
      </c>
      <c r="V20" s="12">
        <f>W20-T20</f>
        <v/>
      </c>
      <c r="W20" s="12" t="n">
        <v>0</v>
      </c>
      <c r="X20" s="13">
        <f>W20/$D$20</f>
        <v/>
      </c>
      <c r="Y20" s="8" t="inlineStr"/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Y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(AVALAND)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Aetas Seputeh</t>
        </is>
      </c>
      <c r="C5" s="9" t="n">
        <v>45450</v>
      </c>
      <c r="D5" s="10" t="n">
        <v>126</v>
      </c>
      <c r="E5" s="7" t="inlineStr">
        <is>
          <t>30624-1</t>
        </is>
      </c>
      <c r="F5" s="8" t="inlineStr">
        <is>
          <t>ARDENT RESIDENCE SDN. BHD.</t>
        </is>
      </c>
      <c r="G5" s="10" t="n"/>
      <c r="H5" s="10" t="n">
        <v>125</v>
      </c>
      <c r="I5" s="11">
        <f>H5/$D$5</f>
        <v/>
      </c>
      <c r="J5" s="10">
        <f>K5-H5</f>
        <v/>
      </c>
      <c r="K5" s="10" t="n">
        <v>125</v>
      </c>
      <c r="L5" s="11">
        <f>K5/$D$5</f>
        <v/>
      </c>
      <c r="M5" s="10">
        <f>N5-K5</f>
        <v/>
      </c>
      <c r="N5" s="10" t="n">
        <v>125</v>
      </c>
      <c r="O5" s="11">
        <f>N5/$D$5</f>
        <v/>
      </c>
      <c r="P5" s="10">
        <f>Q5-N5</f>
        <v/>
      </c>
      <c r="Q5" s="10" t="n">
        <v>125</v>
      </c>
      <c r="R5" s="11">
        <f>Q5/$D$5</f>
        <v/>
      </c>
      <c r="S5" s="10">
        <f>T5-Q5</f>
        <v/>
      </c>
      <c r="T5" s="10" t="n">
        <v>125</v>
      </c>
      <c r="U5" s="11">
        <f>T5/$D$5</f>
        <v/>
      </c>
      <c r="V5" s="12">
        <f>W5-T5</f>
        <v/>
      </c>
      <c r="W5" s="12" t="n">
        <v>125</v>
      </c>
      <c r="X5" s="13">
        <f>W5/$D$5</f>
        <v/>
      </c>
      <c r="Y5" s="8" t="inlineStr">
        <is>
          <t>Latest sales - Block A: 70 units, Block B: 55 units</t>
        </is>
      </c>
    </row>
    <row r="6">
      <c r="A6" s="7" t="n">
        <v>2</v>
      </c>
      <c r="B6" s="8" t="inlineStr">
        <is>
          <t>Alora Residences @ Avenue25</t>
        </is>
      </c>
      <c r="C6" s="9" t="n">
        <v>45161</v>
      </c>
      <c r="D6" s="10" t="n">
        <v>770</v>
      </c>
      <c r="E6" s="7" t="inlineStr">
        <is>
          <t>30162-1,30162-2</t>
        </is>
      </c>
      <c r="F6" s="8" t="inlineStr"/>
      <c r="G6" s="10" t="n"/>
      <c r="H6" s="10" t="n">
        <v>425</v>
      </c>
      <c r="I6" s="11">
        <f>H6/$D$6</f>
        <v/>
      </c>
      <c r="J6" s="10">
        <f>K6-H6</f>
        <v/>
      </c>
      <c r="K6" s="10" t="n">
        <v>427</v>
      </c>
      <c r="L6" s="11">
        <f>K6/$D$6</f>
        <v/>
      </c>
      <c r="M6" s="10">
        <f>N6-K6</f>
        <v/>
      </c>
      <c r="N6" s="10" t="n">
        <v>435</v>
      </c>
      <c r="O6" s="11">
        <f>N6/$D$6</f>
        <v/>
      </c>
      <c r="P6" s="10">
        <f>Q6-N6</f>
        <v/>
      </c>
      <c r="Q6" s="10" t="n">
        <v>441</v>
      </c>
      <c r="R6" s="11">
        <f>Q6/$D$6</f>
        <v/>
      </c>
      <c r="S6" s="10">
        <f>T6-Q6</f>
        <v/>
      </c>
      <c r="T6" s="10" t="n">
        <v>444</v>
      </c>
      <c r="U6" s="11">
        <f>T6/$D$6</f>
        <v/>
      </c>
      <c r="V6" s="12">
        <f>W6-T6</f>
        <v/>
      </c>
      <c r="W6" s="12" t="n">
        <v>445</v>
      </c>
      <c r="X6" s="13">
        <f>W6/$D$6</f>
        <v/>
      </c>
      <c r="Y6" s="8" t="inlineStr">
        <is>
          <t>Latest sales - Block A: 325 units, Block B: 120 units</t>
        </is>
      </c>
    </row>
    <row r="7">
      <c r="A7" s="7" t="n">
        <v>3</v>
      </c>
      <c r="B7" s="8" t="inlineStr">
        <is>
          <t>Amika Residences</t>
        </is>
      </c>
      <c r="C7" s="9" t="n">
        <v>45366</v>
      </c>
      <c r="D7" s="10" t="n">
        <v>468</v>
      </c>
      <c r="E7" s="7" t="inlineStr">
        <is>
          <t>20185-3</t>
        </is>
      </c>
      <c r="F7" s="8" t="inlineStr">
        <is>
          <t>NEXT DELTA SDN. BHD.</t>
        </is>
      </c>
      <c r="G7" s="10" t="n"/>
      <c r="H7" s="10" t="n">
        <v>457</v>
      </c>
      <c r="I7" s="11">
        <f>H7/$D$7</f>
        <v/>
      </c>
      <c r="J7" s="10">
        <f>K7-H7</f>
        <v/>
      </c>
      <c r="K7" s="10" t="n">
        <v>459</v>
      </c>
      <c r="L7" s="11">
        <f>K7/$D$7</f>
        <v/>
      </c>
      <c r="M7" s="10">
        <f>N7-K7</f>
        <v/>
      </c>
      <c r="N7" s="10" t="n">
        <v>460</v>
      </c>
      <c r="O7" s="11">
        <f>N7/$D$7</f>
        <v/>
      </c>
      <c r="P7" s="10">
        <f>Q7-N7</f>
        <v/>
      </c>
      <c r="Q7" s="10" t="n">
        <v>460</v>
      </c>
      <c r="R7" s="11">
        <f>Q7/$D$7</f>
        <v/>
      </c>
      <c r="S7" s="10">
        <f>T7-Q7</f>
        <v/>
      </c>
      <c r="T7" s="10" t="n">
        <v>461</v>
      </c>
      <c r="U7" s="11">
        <f>T7/$D$7</f>
        <v/>
      </c>
      <c r="V7" s="12">
        <f>W7-T7</f>
        <v/>
      </c>
      <c r="W7" s="12" t="n">
        <v>461</v>
      </c>
      <c r="X7" s="13">
        <f>W7/$D$7</f>
        <v/>
      </c>
      <c r="Y7" s="8" t="inlineStr">
        <is>
          <t>Latest sales - Block A: 216 units, Block B: 245 units</t>
        </is>
      </c>
    </row>
    <row r="8">
      <c r="A8" s="7" t="n">
        <v>4</v>
      </c>
      <c r="B8" s="8" t="inlineStr">
        <is>
          <t>Anja Residences &amp; Signature Retail</t>
        </is>
      </c>
      <c r="C8" s="9" t="n">
        <v>45463</v>
      </c>
      <c r="D8" s="10" t="n">
        <v>900</v>
      </c>
      <c r="E8" s="7" t="inlineStr">
        <is>
          <t>9490-3,9490-4</t>
        </is>
      </c>
      <c r="F8" s="8" t="inlineStr">
        <is>
          <t>USJ ONE AVENUE SDN. BHD.</t>
        </is>
      </c>
      <c r="G8" s="10" t="n"/>
      <c r="H8" s="10" t="n">
        <v>275</v>
      </c>
      <c r="I8" s="11">
        <f>H8/$D$8</f>
        <v/>
      </c>
      <c r="J8" s="10">
        <f>K8-H8</f>
        <v/>
      </c>
      <c r="K8" s="10" t="n">
        <v>277</v>
      </c>
      <c r="L8" s="11">
        <f>K8/$D$8</f>
        <v/>
      </c>
      <c r="M8" s="10">
        <f>N8-K8</f>
        <v/>
      </c>
      <c r="N8" s="10" t="n">
        <v>278</v>
      </c>
      <c r="O8" s="11">
        <f>N8/$D$8</f>
        <v/>
      </c>
      <c r="P8" s="10">
        <f>Q8-N8</f>
        <v/>
      </c>
      <c r="Q8" s="10" t="n">
        <v>280</v>
      </c>
      <c r="R8" s="11">
        <f>Q8/$D$8</f>
        <v/>
      </c>
      <c r="S8" s="10">
        <f>T8-Q8</f>
        <v/>
      </c>
      <c r="T8" s="10" t="n">
        <v>281</v>
      </c>
      <c r="U8" s="11">
        <f>T8/$D$8</f>
        <v/>
      </c>
      <c r="V8" s="12">
        <f>W8-T8</f>
        <v/>
      </c>
      <c r="W8" s="12" t="n">
        <v>282</v>
      </c>
      <c r="X8" s="13">
        <f>W8/$D$8</f>
        <v/>
      </c>
      <c r="Y8" s="8" t="inlineStr">
        <is>
          <t>Latest sales - Block A: 282 units</t>
        </is>
      </c>
    </row>
    <row r="9">
      <c r="A9" s="7" t="n">
        <v>5</v>
      </c>
      <c r="B9" s="8" t="inlineStr">
        <is>
          <t>Avalon</t>
        </is>
      </c>
      <c r="C9" s="9" t="n">
        <v>45845</v>
      </c>
      <c r="D9" s="10" t="n">
        <v>343</v>
      </c>
      <c r="E9" s="7" t="inlineStr">
        <is>
          <t>30240-3,30240-4</t>
        </is>
      </c>
      <c r="F9" s="8" t="inlineStr">
        <is>
          <t>ECOLAKE RESIDENCE SDN. BHD.</t>
        </is>
      </c>
      <c r="G9" s="10" t="n"/>
      <c r="H9" s="10" t="n">
        <v>180</v>
      </c>
      <c r="I9" s="11">
        <f>H9/$D$9</f>
        <v/>
      </c>
      <c r="J9" s="10">
        <f>K9-H9</f>
        <v/>
      </c>
      <c r="K9" s="10" t="n">
        <v>181</v>
      </c>
      <c r="L9" s="11">
        <f>K9/$D$9</f>
        <v/>
      </c>
      <c r="M9" s="10">
        <f>N9-K9</f>
        <v/>
      </c>
      <c r="N9" s="10" t="n">
        <v>185</v>
      </c>
      <c r="O9" s="11">
        <f>N9/$D$9</f>
        <v/>
      </c>
      <c r="P9" s="10">
        <f>Q9-N9</f>
        <v/>
      </c>
      <c r="Q9" s="10" t="n">
        <v>186</v>
      </c>
      <c r="R9" s="11">
        <f>Q9/$D$9</f>
        <v/>
      </c>
      <c r="S9" s="10">
        <f>T9-Q9</f>
        <v/>
      </c>
      <c r="T9" s="10" t="n">
        <v>187</v>
      </c>
      <c r="U9" s="11">
        <f>T9/$D$9</f>
        <v/>
      </c>
      <c r="V9" s="12">
        <f>W9-T9</f>
        <v/>
      </c>
      <c r="W9" s="12" t="n">
        <v>189</v>
      </c>
      <c r="X9" s="13">
        <f>W9/$D$9</f>
        <v/>
      </c>
      <c r="Y9" s="8" t="inlineStr"/>
    </row>
    <row r="10">
      <c r="A10" s="7" t="n">
        <v>6</v>
      </c>
      <c r="B10" s="8" t="inlineStr">
        <is>
          <t>Sanderling 2 Lakefront</t>
        </is>
      </c>
      <c r="C10" s="9" t="n">
        <v>45559</v>
      </c>
      <c r="D10" s="10" t="n">
        <v>606</v>
      </c>
      <c r="E10" s="7" t="inlineStr">
        <is>
          <t>12047-4</t>
        </is>
      </c>
      <c r="F10" s="8" t="inlineStr">
        <is>
          <t>LAKEFRONT RESIDENCE SDN. BHD.</t>
        </is>
      </c>
      <c r="G10" s="10" t="n"/>
      <c r="H10" s="10" t="n">
        <v>232</v>
      </c>
      <c r="I10" s="11">
        <f>H10/$D$10</f>
        <v/>
      </c>
      <c r="J10" s="10">
        <f>K10-H10</f>
        <v/>
      </c>
      <c r="K10" s="10" t="n">
        <v>234</v>
      </c>
      <c r="L10" s="11">
        <f>K10/$D$10</f>
        <v/>
      </c>
      <c r="M10" s="10">
        <f>N10-K10</f>
        <v/>
      </c>
      <c r="N10" s="10" t="n">
        <v>234</v>
      </c>
      <c r="O10" s="11">
        <f>N10/$D$10</f>
        <v/>
      </c>
      <c r="P10" s="10">
        <f>Q10-N10</f>
        <v/>
      </c>
      <c r="Q10" s="10" t="n">
        <v>236</v>
      </c>
      <c r="R10" s="11">
        <f>Q10/$D$10</f>
        <v/>
      </c>
      <c r="S10" s="10">
        <f>T10-Q10</f>
        <v/>
      </c>
      <c r="T10" s="10" t="n">
        <v>240</v>
      </c>
      <c r="U10" s="11">
        <f>T10/$D$10</f>
        <v/>
      </c>
      <c r="V10" s="12">
        <f>W10-T10</f>
        <v/>
      </c>
      <c r="W10" s="12" t="n">
        <v>244</v>
      </c>
      <c r="X10" s="13">
        <f>W10/$D$10</f>
        <v/>
      </c>
      <c r="Y10" s="8" t="inlineStr">
        <is>
          <t>Latest sales - Block T7: 104 units, Block T8: 140 units</t>
        </is>
      </c>
    </row>
    <row r="11">
      <c r="A11" s="7" t="n">
        <v>7</v>
      </c>
      <c r="B11" s="8" t="inlineStr">
        <is>
          <t>Accent Petaling Jaya</t>
        </is>
      </c>
      <c r="C11" s="9" t="n"/>
      <c r="D11" s="10" t="n">
        <v>231</v>
      </c>
      <c r="E11" s="7" t="inlineStr"/>
      <c r="F11" s="8" t="inlineStr"/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2" t="n"/>
      <c r="W11" s="12" t="n"/>
      <c r="X11" s="13" t="n"/>
      <c r="Y11" s="8" t="inlineStr">
        <is>
          <t>Not launched yet.</t>
        </is>
      </c>
    </row>
    <row r="12">
      <c r="A12" s="7" t="n">
        <v>8</v>
      </c>
      <c r="B12" s="8" t="inlineStr">
        <is>
          <t>Aetas Damansara</t>
        </is>
      </c>
      <c r="C12" s="9" t="n">
        <v>44177</v>
      </c>
      <c r="D12" s="10" t="n">
        <v>226</v>
      </c>
      <c r="E12" s="7" t="inlineStr">
        <is>
          <t>20017-1</t>
        </is>
      </c>
      <c r="F12" s="8" t="inlineStr"/>
      <c r="G12" s="10" t="n"/>
      <c r="H12" s="10" t="n">
        <v>221</v>
      </c>
      <c r="I12" s="11">
        <f>H12/$D$12</f>
        <v/>
      </c>
      <c r="J12" s="10">
        <f>K12-H12</f>
        <v/>
      </c>
      <c r="K12" s="10" t="n">
        <v>221</v>
      </c>
      <c r="L12" s="11">
        <f>K12/$D$12</f>
        <v/>
      </c>
      <c r="M12" s="10">
        <f>N12-K12</f>
        <v/>
      </c>
      <c r="N12" s="10" t="n">
        <v>221</v>
      </c>
      <c r="O12" s="11">
        <f>N12/$D$12</f>
        <v/>
      </c>
      <c r="P12" s="10">
        <f>Q12-N12</f>
        <v/>
      </c>
      <c r="Q12" s="10" t="n">
        <v>221</v>
      </c>
      <c r="R12" s="11">
        <f>Q12/$D$12</f>
        <v/>
      </c>
      <c r="S12" s="10">
        <f>T12-Q12</f>
        <v/>
      </c>
      <c r="T12" s="10" t="n">
        <v>221</v>
      </c>
      <c r="U12" s="11">
        <f>T12/$D$12</f>
        <v/>
      </c>
      <c r="V12" s="12">
        <f>W12-T12</f>
        <v/>
      </c>
      <c r="W12" s="12" t="n">
        <v>221</v>
      </c>
      <c r="X12" s="13">
        <f>W12/$D$12</f>
        <v/>
      </c>
      <c r="Y12" s="8" t="inlineStr">
        <is>
          <t>Latest sales - Block A: 144 units, Block B: 77 units</t>
        </is>
      </c>
    </row>
    <row r="13">
      <c r="A13" s="7" t="n">
        <v>9</v>
      </c>
      <c r="B13" s="8" t="inlineStr">
        <is>
          <t>Aetas Taman Desa</t>
        </is>
      </c>
      <c r="C13" s="9" t="n"/>
      <c r="D13" s="10" t="n">
        <v>0</v>
      </c>
      <c r="E13" s="7" t="inlineStr"/>
      <c r="F13" s="8" t="inlineStr"/>
      <c r="G13" s="10" t="n"/>
      <c r="H13" s="10" t="n"/>
      <c r="I13" s="11" t="n"/>
      <c r="J13" s="10" t="n"/>
      <c r="K13" s="10" t="n"/>
      <c r="L13" s="11" t="n"/>
      <c r="M13" s="10" t="n"/>
      <c r="N13" s="10" t="n"/>
      <c r="O13" s="11" t="n"/>
      <c r="P13" s="10" t="n"/>
      <c r="Q13" s="10" t="n"/>
      <c r="R13" s="11" t="n"/>
      <c r="S13" s="10" t="n"/>
      <c r="T13" s="10" t="n"/>
      <c r="U13" s="11" t="n"/>
      <c r="V13" s="12" t="n"/>
      <c r="W13" s="12" t="n"/>
      <c r="X13" s="13" t="n"/>
      <c r="Y13" s="8" t="inlineStr">
        <is>
          <t>Not yet launched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(BINASTRA)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Binastra Cochrane</t>
        </is>
      </c>
      <c r="C5" s="9" t="n">
        <v>46205</v>
      </c>
      <c r="D5" s="10" t="n">
        <v>830</v>
      </c>
      <c r="E5" s="7" t="inlineStr">
        <is>
          <t>31332-1</t>
        </is>
      </c>
      <c r="F5" s="8" t="inlineStr">
        <is>
          <t>BINASTRA SYNERGY SDN. BHD.</t>
        </is>
      </c>
      <c r="G5" s="10" t="n"/>
      <c r="H5" s="10" t="n">
        <v>303</v>
      </c>
      <c r="I5" s="11">
        <f>H5/$D$5</f>
        <v/>
      </c>
      <c r="J5" s="10">
        <f>K5-H5</f>
        <v/>
      </c>
      <c r="K5" s="10" t="n">
        <v>358</v>
      </c>
      <c r="L5" s="11">
        <f>K5/$D$5</f>
        <v/>
      </c>
      <c r="M5" s="10">
        <f>N5-K5</f>
        <v/>
      </c>
      <c r="N5" s="10" t="n">
        <v>402</v>
      </c>
      <c r="O5" s="11">
        <f>N5/$D$5</f>
        <v/>
      </c>
      <c r="P5" s="10">
        <f>Q5-N5</f>
        <v/>
      </c>
      <c r="Q5" s="10" t="n">
        <v>440</v>
      </c>
      <c r="R5" s="11">
        <f>Q5/$D$5</f>
        <v/>
      </c>
      <c r="S5" s="10">
        <f>T5-Q5</f>
        <v/>
      </c>
      <c r="T5" s="10" t="n">
        <v>465</v>
      </c>
      <c r="U5" s="11">
        <f>T5/$D$5</f>
        <v/>
      </c>
      <c r="V5" s="12">
        <f>W5-T5</f>
        <v/>
      </c>
      <c r="W5" s="12" t="n">
        <v>492</v>
      </c>
      <c r="X5" s="13">
        <f>W5/$D$5</f>
        <v/>
      </c>
      <c r="Y5" s="8" t="inlineStr">
        <is>
          <t>Latest sales - Block A: 284 units, Block B: 208 units</t>
        </is>
      </c>
    </row>
    <row r="6">
      <c r="A6" s="7" t="n">
        <v>2</v>
      </c>
      <c r="B6" s="8" t="inlineStr">
        <is>
          <t>Binastra Cochrane 2</t>
        </is>
      </c>
      <c r="C6" s="9" t="n"/>
      <c r="D6" s="10" t="n">
        <v>830</v>
      </c>
      <c r="E6" s="7" t="inlineStr"/>
      <c r="F6" s="8" t="inlineStr">
        <is>
          <t>BINASTRA SYNERGY SDN. BHD.</t>
        </is>
      </c>
      <c r="G6" s="10" t="n"/>
      <c r="H6" s="10" t="n"/>
      <c r="I6" s="11" t="n"/>
      <c r="J6" s="10" t="n"/>
      <c r="K6" s="10" t="n"/>
      <c r="L6" s="11" t="n"/>
      <c r="M6" s="10" t="n"/>
      <c r="N6" s="10" t="n"/>
      <c r="O6" s="11" t="n"/>
      <c r="P6" s="10" t="n"/>
      <c r="Q6" s="10" t="n"/>
      <c r="R6" s="11" t="n"/>
      <c r="S6" s="10" t="n"/>
      <c r="T6" s="10" t="n"/>
      <c r="U6" s="11" t="n"/>
      <c r="V6" s="12" t="n"/>
      <c r="W6" s="12" t="n"/>
      <c r="X6" s="13" t="n"/>
      <c r="Y6" s="8" t="inlineStr">
        <is>
          <t>Not launched yet.</t>
        </is>
      </c>
    </row>
    <row r="7">
      <c r="A7" s="7" t="n">
        <v>3</v>
      </c>
      <c r="B7" s="8" t="inlineStr">
        <is>
          <t>Binastra The Hill @ Kemensah</t>
        </is>
      </c>
      <c r="C7" s="9" t="n"/>
      <c r="D7" s="10" t="n">
        <v>0</v>
      </c>
      <c r="E7" s="7" t="inlineStr"/>
      <c r="F7" s="8" t="inlineStr"/>
      <c r="G7" s="10" t="n"/>
      <c r="H7" s="10" t="n"/>
      <c r="I7" s="11" t="n"/>
      <c r="J7" s="10" t="n"/>
      <c r="K7" s="10" t="n"/>
      <c r="L7" s="11" t="n"/>
      <c r="M7" s="10" t="n"/>
      <c r="N7" s="10" t="n"/>
      <c r="O7" s="11" t="n"/>
      <c r="P7" s="10" t="n"/>
      <c r="Q7" s="10" t="n"/>
      <c r="R7" s="11" t="n"/>
      <c r="S7" s="10" t="n"/>
      <c r="T7" s="10" t="n"/>
      <c r="U7" s="11" t="n"/>
      <c r="V7" s="12" t="n"/>
      <c r="W7" s="12" t="n"/>
      <c r="X7" s="13" t="n"/>
      <c r="Y7" s="8" t="inlineStr">
        <is>
          <t>Not on TEDUH.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2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(BRDB)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Miranda Hill</t>
        </is>
      </c>
      <c r="C5" s="9" t="n">
        <v>44894</v>
      </c>
      <c r="D5" s="10" t="n">
        <v>552</v>
      </c>
      <c r="E5" s="7" t="inlineStr">
        <is>
          <t>11611-2</t>
        </is>
      </c>
      <c r="F5" s="8" t="inlineStr">
        <is>
          <t>FREEDOM ESTATES SDN. BHD.</t>
        </is>
      </c>
      <c r="G5" s="10" t="n"/>
      <c r="H5" s="10" t="n">
        <v>551</v>
      </c>
      <c r="I5" s="11">
        <f>H5/$D$5</f>
        <v/>
      </c>
      <c r="J5" s="10">
        <f>K5-H5</f>
        <v/>
      </c>
      <c r="K5" s="10" t="n">
        <v>551</v>
      </c>
      <c r="L5" s="11">
        <f>K5/$D$5</f>
        <v/>
      </c>
      <c r="M5" s="10">
        <f>N5-K5</f>
        <v/>
      </c>
      <c r="N5" s="10" t="n">
        <v>551</v>
      </c>
      <c r="O5" s="11">
        <f>N5/$D$5</f>
        <v/>
      </c>
      <c r="P5" s="10">
        <f>Q5-N5</f>
        <v/>
      </c>
      <c r="Q5" s="10" t="n">
        <v>551</v>
      </c>
      <c r="R5" s="11">
        <f>Q5/$D$5</f>
        <v/>
      </c>
      <c r="S5" s="12">
        <f>T5-Q5</f>
        <v/>
      </c>
      <c r="T5" s="12" t="n">
        <v>551</v>
      </c>
      <c r="U5" s="13">
        <f>T5/$D$5</f>
        <v/>
      </c>
      <c r="V5" s="8" t="inlineStr">
        <is>
          <t>Latest sales - Block 1: 277 units, Block 2: 274 units</t>
        </is>
      </c>
    </row>
    <row r="6">
      <c r="A6" s="7" t="n">
        <v>2</v>
      </c>
      <c r="B6" s="8" t="inlineStr">
        <is>
          <t>Senja Residence</t>
        </is>
      </c>
      <c r="C6" s="9" t="n">
        <v>45272</v>
      </c>
      <c r="D6" s="10" t="n">
        <v>83</v>
      </c>
      <c r="E6" s="7" t="inlineStr">
        <is>
          <t>11807-2</t>
        </is>
      </c>
      <c r="F6" s="8" t="inlineStr">
        <is>
          <t>EARTH PAVILION SDN. BHD.</t>
        </is>
      </c>
      <c r="G6" s="10" t="n"/>
      <c r="H6" s="10" t="n">
        <v>82</v>
      </c>
      <c r="I6" s="11">
        <f>H6/$D$6</f>
        <v/>
      </c>
      <c r="J6" s="10">
        <f>K6-H6</f>
        <v/>
      </c>
      <c r="K6" s="10" t="n">
        <v>82</v>
      </c>
      <c r="L6" s="11">
        <f>K6/$D$6</f>
        <v/>
      </c>
      <c r="M6" s="10">
        <f>N6-K6</f>
        <v/>
      </c>
      <c r="N6" s="10" t="n">
        <v>82</v>
      </c>
      <c r="O6" s="11">
        <f>N6/$D$6</f>
        <v/>
      </c>
      <c r="P6" s="10">
        <f>Q6-N6</f>
        <v/>
      </c>
      <c r="Q6" s="10" t="n">
        <v>82</v>
      </c>
      <c r="R6" s="11">
        <f>Q6/$D$6</f>
        <v/>
      </c>
      <c r="S6" s="12">
        <f>T6-Q6</f>
        <v/>
      </c>
      <c r="T6" s="12" t="n">
        <v>82</v>
      </c>
      <c r="U6" s="13">
        <f>T6/$D$6</f>
        <v/>
      </c>
      <c r="V6" s="8" t="inlineStr"/>
    </row>
    <row r="7">
      <c r="A7" s="7" t="n">
        <v>3</v>
      </c>
      <c r="B7" s="8" t="inlineStr">
        <is>
          <t>Senja Residence</t>
        </is>
      </c>
      <c r="C7" s="9" t="n">
        <v>45904</v>
      </c>
      <c r="D7" s="10" t="n">
        <v>34</v>
      </c>
      <c r="E7" s="7" t="inlineStr">
        <is>
          <t>11807-3</t>
        </is>
      </c>
      <c r="F7" s="8" t="inlineStr">
        <is>
          <t>EARTH PAVILION SDN. BHD.</t>
        </is>
      </c>
      <c r="G7" s="10" t="n"/>
      <c r="H7" s="10" t="n">
        <v>15</v>
      </c>
      <c r="I7" s="11">
        <f>H7/$D$7</f>
        <v/>
      </c>
      <c r="J7" s="10">
        <f>K7-H7</f>
        <v/>
      </c>
      <c r="K7" s="10" t="n">
        <v>16</v>
      </c>
      <c r="L7" s="11">
        <f>K7/$D$7</f>
        <v/>
      </c>
      <c r="M7" s="10">
        <f>N7-K7</f>
        <v/>
      </c>
      <c r="N7" s="10" t="n">
        <v>16</v>
      </c>
      <c r="O7" s="11">
        <f>N7/$D$7</f>
        <v/>
      </c>
      <c r="P7" s="10">
        <f>Q7-N7</f>
        <v/>
      </c>
      <c r="Q7" s="10" t="n">
        <v>16</v>
      </c>
      <c r="R7" s="11">
        <f>Q7/$D$7</f>
        <v/>
      </c>
      <c r="S7" s="12">
        <f>T7-Q7</f>
        <v/>
      </c>
      <c r="T7" s="12" t="n">
        <v>16</v>
      </c>
      <c r="U7" s="13">
        <f>T7/$D$7</f>
        <v/>
      </c>
      <c r="V7" s="8" t="inlineStr"/>
    </row>
    <row r="8">
      <c r="A8" s="7" t="n">
        <v>4</v>
      </c>
      <c r="B8" s="8" t="inlineStr">
        <is>
          <t>Senja Residence</t>
        </is>
      </c>
      <c r="C8" s="9" t="n">
        <v>45904</v>
      </c>
      <c r="D8" s="10" t="n">
        <v>47</v>
      </c>
      <c r="E8" s="7" t="inlineStr">
        <is>
          <t>11807-4</t>
        </is>
      </c>
      <c r="F8" s="8" t="inlineStr">
        <is>
          <t>EARTH PAVILION SDN. BHD.</t>
        </is>
      </c>
      <c r="G8" s="10" t="n"/>
      <c r="H8" s="10" t="n">
        <v>17</v>
      </c>
      <c r="I8" s="11">
        <f>H8/$D$8</f>
        <v/>
      </c>
      <c r="J8" s="10">
        <f>K8-H8</f>
        <v/>
      </c>
      <c r="K8" s="10" t="n">
        <v>17</v>
      </c>
      <c r="L8" s="11">
        <f>K8/$D$8</f>
        <v/>
      </c>
      <c r="M8" s="10">
        <f>N8-K8</f>
        <v/>
      </c>
      <c r="N8" s="10" t="n">
        <v>17</v>
      </c>
      <c r="O8" s="11">
        <f>N8/$D$8</f>
        <v/>
      </c>
      <c r="P8" s="10">
        <f>Q8-N8</f>
        <v/>
      </c>
      <c r="Q8" s="10" t="n">
        <v>17</v>
      </c>
      <c r="R8" s="11">
        <f>Q8/$D$8</f>
        <v/>
      </c>
      <c r="S8" s="12">
        <f>T8-Q8</f>
        <v/>
      </c>
      <c r="T8" s="12" t="n">
        <v>17</v>
      </c>
      <c r="U8" s="13">
        <f>T8/$D$8</f>
        <v/>
      </c>
      <c r="V8" s="8" t="inlineStr"/>
    </row>
    <row r="9">
      <c r="A9" s="7" t="n">
        <v>5</v>
      </c>
      <c r="B9" s="8" t="inlineStr">
        <is>
          <t>Luminar Residence @ Federal Avenue</t>
        </is>
      </c>
      <c r="C9" s="9" t="n">
        <v>45819</v>
      </c>
      <c r="D9" s="10" t="n">
        <v>751</v>
      </c>
      <c r="E9" s="7" t="inlineStr">
        <is>
          <t>30367-1</t>
        </is>
      </c>
      <c r="F9" s="8" t="inlineStr">
        <is>
          <t>IMPIANA IMPRESIF SDN. BHD.</t>
        </is>
      </c>
      <c r="G9" s="10" t="n"/>
      <c r="H9" s="10" t="n">
        <v>193</v>
      </c>
      <c r="I9" s="11">
        <f>H9/$D$9</f>
        <v/>
      </c>
      <c r="J9" s="10">
        <f>K9-H9</f>
        <v/>
      </c>
      <c r="K9" s="10" t="n">
        <v>195</v>
      </c>
      <c r="L9" s="11">
        <f>K9/$D$9</f>
        <v/>
      </c>
      <c r="M9" s="10">
        <f>N9-K9</f>
        <v/>
      </c>
      <c r="N9" s="10" t="n">
        <v>197</v>
      </c>
      <c r="O9" s="11">
        <f>N9/$D$9</f>
        <v/>
      </c>
      <c r="P9" s="10">
        <f>Q9-N9</f>
        <v/>
      </c>
      <c r="Q9" s="10" t="n">
        <v>199</v>
      </c>
      <c r="R9" s="11">
        <f>Q9/$D$9</f>
        <v/>
      </c>
      <c r="S9" s="12">
        <f>T9-Q9</f>
        <v/>
      </c>
      <c r="T9" s="12" t="n">
        <v>199</v>
      </c>
      <c r="U9" s="13">
        <f>T9/$D$9</f>
        <v/>
      </c>
      <c r="V9" s="8" t="inlineStr">
        <is>
          <t>Latest sales - Block A: 100 units, Block B: 99 units</t>
        </is>
      </c>
    </row>
    <row r="10">
      <c r="A10" s="7" t="n">
        <v>6</v>
      </c>
      <c r="B10" s="8" t="inlineStr">
        <is>
          <t>One Eleven Menerung</t>
        </is>
      </c>
      <c r="C10" s="9" t="n">
        <v>44426</v>
      </c>
      <c r="D10" s="10" t="n">
        <v>111</v>
      </c>
      <c r="E10" s="7" t="inlineStr">
        <is>
          <t>32-15</t>
        </is>
      </c>
      <c r="F10" s="8" t="inlineStr">
        <is>
          <t>BRDB DEVELOPMENTS SDN. BHD.</t>
        </is>
      </c>
      <c r="G10" s="10" t="n"/>
      <c r="H10" s="10" t="n">
        <v>78</v>
      </c>
      <c r="I10" s="11">
        <f>H10/$D$10</f>
        <v/>
      </c>
      <c r="J10" s="10">
        <f>K10-H10</f>
        <v/>
      </c>
      <c r="K10" s="10" t="n">
        <v>79</v>
      </c>
      <c r="L10" s="11">
        <f>K10/$D$10</f>
        <v/>
      </c>
      <c r="M10" s="10">
        <f>N10-K10</f>
        <v/>
      </c>
      <c r="N10" s="10" t="n">
        <v>79</v>
      </c>
      <c r="O10" s="11">
        <f>N10/$D$10</f>
        <v/>
      </c>
      <c r="P10" s="10">
        <f>Q10-N10</f>
        <v/>
      </c>
      <c r="Q10" s="10" t="n">
        <v>79</v>
      </c>
      <c r="R10" s="11">
        <f>Q10/$D$10</f>
        <v/>
      </c>
      <c r="S10" s="12">
        <f>T10-Q10</f>
        <v/>
      </c>
      <c r="T10" s="12" t="n">
        <v>79</v>
      </c>
      <c r="U10" s="13">
        <f>T10/$D$10</f>
        <v/>
      </c>
      <c r="V10" s="8" t="inlineStr"/>
    </row>
    <row r="11">
      <c r="A11" s="7" t="n">
        <v>7</v>
      </c>
      <c r="B11" s="8" t="inlineStr">
        <is>
          <t>Eden</t>
        </is>
      </c>
      <c r="C11" s="9" t="n">
        <v>45863</v>
      </c>
      <c r="D11" s="10" t="n">
        <v>146</v>
      </c>
      <c r="E11" s="7" t="inlineStr">
        <is>
          <t>32-16</t>
        </is>
      </c>
      <c r="F11" s="8" t="inlineStr">
        <is>
          <t>BRDB DEVELOPMENTS SDN. BHD.</t>
        </is>
      </c>
      <c r="G11" s="10" t="n"/>
      <c r="H11" s="10" t="n">
        <v>43</v>
      </c>
      <c r="I11" s="11">
        <f>H11/$D$11</f>
        <v/>
      </c>
      <c r="J11" s="10">
        <f>K11-H11</f>
        <v/>
      </c>
      <c r="K11" s="10" t="n">
        <v>43</v>
      </c>
      <c r="L11" s="11">
        <f>K11/$D$11</f>
        <v/>
      </c>
      <c r="M11" s="10">
        <f>N11-K11</f>
        <v/>
      </c>
      <c r="N11" s="10" t="n">
        <v>43</v>
      </c>
      <c r="O11" s="11">
        <f>N11/$D$11</f>
        <v/>
      </c>
      <c r="P11" s="10">
        <f>Q11-N11</f>
        <v/>
      </c>
      <c r="Q11" s="10" t="n">
        <v>43</v>
      </c>
      <c r="R11" s="11">
        <f>Q11/$D$11</f>
        <v/>
      </c>
      <c r="S11" s="12">
        <f>T11-Q11</f>
        <v/>
      </c>
      <c r="T11" s="12" t="n">
        <v>44</v>
      </c>
      <c r="U11" s="13">
        <f>T11/$D$11</f>
        <v/>
      </c>
      <c r="V11" s="8" t="inlineStr">
        <is>
          <t>Latest sales - Block A: 2 units, Block B: 6 units, Block C: 5 units, Block D: 9 units, Block E: 2 units, Block F: 2 units, Block G: 11 units, Block H: 7 units</t>
        </is>
      </c>
    </row>
    <row r="12">
      <c r="A12" s="7" t="n">
        <v>8</v>
      </c>
      <c r="B12" s="8" t="inlineStr">
        <is>
          <t>Bayu Permas Residences</t>
        </is>
      </c>
      <c r="C12" s="9" t="n">
        <v>45182</v>
      </c>
      <c r="D12" s="10" t="n">
        <v>100</v>
      </c>
      <c r="E12" s="7" t="inlineStr">
        <is>
          <t>835-12</t>
        </is>
      </c>
      <c r="F12" s="8" t="inlineStr">
        <is>
          <t>PERMAS JAYA SDN. BHD.</t>
        </is>
      </c>
      <c r="G12" s="10" t="n"/>
      <c r="H12" s="10" t="n">
        <v>94</v>
      </c>
      <c r="I12" s="11">
        <f>H12/$D$12</f>
        <v/>
      </c>
      <c r="J12" s="10">
        <f>K12-H12</f>
        <v/>
      </c>
      <c r="K12" s="10" t="n">
        <v>94</v>
      </c>
      <c r="L12" s="11">
        <f>K12/$D$12</f>
        <v/>
      </c>
      <c r="M12" s="10">
        <f>N12-K12</f>
        <v/>
      </c>
      <c r="N12" s="10" t="n">
        <v>94</v>
      </c>
      <c r="O12" s="11">
        <f>N12/$D$12</f>
        <v/>
      </c>
      <c r="P12" s="10">
        <f>Q12-N12</f>
        <v/>
      </c>
      <c r="Q12" s="10" t="n">
        <v>94</v>
      </c>
      <c r="R12" s="11">
        <f>Q12/$D$12</f>
        <v/>
      </c>
      <c r="S12" s="12">
        <f>T12-Q12</f>
        <v/>
      </c>
      <c r="T12" s="12" t="n">
        <v>94</v>
      </c>
      <c r="U12" s="13">
        <f>T12/$D$12</f>
        <v/>
      </c>
      <c r="V12" s="8" t="inlineStr">
        <is>
          <t>Latest sales - Block A: 45 units, Block B: 49 units</t>
        </is>
      </c>
    </row>
    <row r="13">
      <c r="A13" s="7" t="n">
        <v>9</v>
      </c>
      <c r="B13" s="8" t="inlineStr">
        <is>
          <t>Rimbunan</t>
        </is>
      </c>
      <c r="C13" s="9" t="n">
        <v>45539</v>
      </c>
      <c r="D13" s="10" t="n">
        <v>198</v>
      </c>
      <c r="E13" s="7" t="inlineStr">
        <is>
          <t>835-13</t>
        </is>
      </c>
      <c r="F13" s="8" t="inlineStr">
        <is>
          <t>PERMAS JAYA SDN. BHD.</t>
        </is>
      </c>
      <c r="G13" s="10" t="n"/>
      <c r="H13" s="10" t="n">
        <v>145</v>
      </c>
      <c r="I13" s="11">
        <f>H13/$D$13</f>
        <v/>
      </c>
      <c r="J13" s="10">
        <f>K13-H13</f>
        <v/>
      </c>
      <c r="K13" s="10" t="n">
        <v>145</v>
      </c>
      <c r="L13" s="11">
        <f>K13/$D$13</f>
        <v/>
      </c>
      <c r="M13" s="10">
        <f>N13-K13</f>
        <v/>
      </c>
      <c r="N13" s="10" t="n">
        <v>145</v>
      </c>
      <c r="O13" s="11">
        <f>N13/$D$13</f>
        <v/>
      </c>
      <c r="P13" s="10">
        <f>Q13-N13</f>
        <v/>
      </c>
      <c r="Q13" s="10" t="n">
        <v>146</v>
      </c>
      <c r="R13" s="11">
        <f>Q13/$D$13</f>
        <v/>
      </c>
      <c r="S13" s="12">
        <f>T13-Q13</f>
        <v/>
      </c>
      <c r="T13" s="12" t="n">
        <v>147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Residensi Dwi Pesona</t>
        </is>
      </c>
      <c r="C14" s="9" t="n">
        <v>45926</v>
      </c>
      <c r="D14" s="10" t="n">
        <v>715</v>
      </c>
      <c r="E14" s="7" t="inlineStr">
        <is>
          <t>835-14</t>
        </is>
      </c>
      <c r="F14" s="8" t="inlineStr">
        <is>
          <t>PERMAS JAYA SDN. BHD.</t>
        </is>
      </c>
      <c r="G14" s="10" t="n"/>
      <c r="H14" s="10" t="n">
        <v>314</v>
      </c>
      <c r="I14" s="11">
        <f>H14/$D$14</f>
        <v/>
      </c>
      <c r="J14" s="10">
        <f>K14-H14</f>
        <v/>
      </c>
      <c r="K14" s="10" t="n">
        <v>317</v>
      </c>
      <c r="L14" s="11">
        <f>K14/$D$14</f>
        <v/>
      </c>
      <c r="M14" s="10">
        <f>N14-K14</f>
        <v/>
      </c>
      <c r="N14" s="10" t="n">
        <v>321</v>
      </c>
      <c r="O14" s="11">
        <f>N14/$D$14</f>
        <v/>
      </c>
      <c r="P14" s="10">
        <f>Q14-N14</f>
        <v/>
      </c>
      <c r="Q14" s="10" t="n">
        <v>328</v>
      </c>
      <c r="R14" s="11">
        <f>Q14/$D$14</f>
        <v/>
      </c>
      <c r="S14" s="12">
        <f>T14-Q14</f>
        <v/>
      </c>
      <c r="T14" s="12" t="n">
        <v>335</v>
      </c>
      <c r="U14" s="13">
        <f>T14/$D$14</f>
        <v/>
      </c>
      <c r="V14" s="8" t="inlineStr">
        <is>
          <t>Latest sales - Block A: 197 units, Block B: 138 units</t>
        </is>
      </c>
    </row>
    <row r="15">
      <c r="A15" s="7" t="n">
        <v>11</v>
      </c>
      <c r="B15" s="8" t="inlineStr">
        <is>
          <t>Residensi Suasana Permas</t>
        </is>
      </c>
      <c r="C15" s="9" t="n">
        <v>45987</v>
      </c>
      <c r="D15" s="10" t="n">
        <v>399</v>
      </c>
      <c r="E15" s="7" t="inlineStr">
        <is>
          <t>835-15</t>
        </is>
      </c>
      <c r="F15" s="8" t="inlineStr">
        <is>
          <t>PERMAS JAYA SDN. BHD.</t>
        </is>
      </c>
      <c r="G15" s="10" t="n"/>
      <c r="H15" s="10" t="n">
        <v>0</v>
      </c>
      <c r="I15" s="11">
        <f>H15/$D$15</f>
        <v/>
      </c>
      <c r="J15" s="10">
        <f>K15-H15</f>
        <v/>
      </c>
      <c r="K15" s="10" t="n">
        <v>0</v>
      </c>
      <c r="L15" s="11">
        <f>K15/$D$15</f>
        <v/>
      </c>
      <c r="M15" s="10">
        <f>N15-K15</f>
        <v/>
      </c>
      <c r="N15" s="10" t="n">
        <v>0</v>
      </c>
      <c r="O15" s="11">
        <f>N15/$D$15</f>
        <v/>
      </c>
      <c r="P15" s="10">
        <f>Q15-N15</f>
        <v/>
      </c>
      <c r="Q15" s="10" t="n">
        <v>0</v>
      </c>
      <c r="R15" s="11">
        <f>Q15/$D$15</f>
        <v/>
      </c>
      <c r="S15" s="12">
        <f>T15-Q15</f>
        <v/>
      </c>
      <c r="T15" s="12" t="n">
        <v>0</v>
      </c>
      <c r="U15" s="13">
        <f>T15/$D$15</f>
        <v/>
      </c>
      <c r="V15" s="8" t="inlineStr"/>
    </row>
    <row r="16">
      <c r="A16" s="7" t="n">
        <v>12</v>
      </c>
      <c r="B16" s="8" t="inlineStr">
        <is>
          <t>Tamansari</t>
        </is>
      </c>
      <c r="C16" s="9" t="n">
        <v>41996</v>
      </c>
      <c r="D16" s="10" t="n">
        <v>991</v>
      </c>
      <c r="E16" s="7" t="inlineStr">
        <is>
          <t>13819-1,13819-2,13819-3,13819-4,13819-5,13819-6</t>
        </is>
      </c>
      <c r="F16" s="8" t="inlineStr">
        <is>
          <t>PINGGIR MENTARI SDN. BHD.</t>
        </is>
      </c>
      <c r="G16" s="10" t="n"/>
      <c r="H16" s="10" t="n">
        <v>654</v>
      </c>
      <c r="I16" s="11">
        <f>H16/$D$16</f>
        <v/>
      </c>
      <c r="J16" s="10">
        <f>K16-H16</f>
        <v/>
      </c>
      <c r="K16" s="10" t="n">
        <v>654</v>
      </c>
      <c r="L16" s="11">
        <f>K16/$D$16</f>
        <v/>
      </c>
      <c r="M16" s="10">
        <f>N16-K16</f>
        <v/>
      </c>
      <c r="N16" s="10" t="n">
        <v>655</v>
      </c>
      <c r="O16" s="11">
        <f>N16/$D$16</f>
        <v/>
      </c>
      <c r="P16" s="10">
        <f>Q16-N16</f>
        <v/>
      </c>
      <c r="Q16" s="10" t="n">
        <v>655</v>
      </c>
      <c r="R16" s="11">
        <f>Q16/$D$16</f>
        <v/>
      </c>
      <c r="S16" s="12">
        <f>T16-Q16</f>
        <v/>
      </c>
      <c r="T16" s="12" t="n">
        <v>655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Emerald Bay</t>
        </is>
      </c>
      <c r="C17" s="9" t="n">
        <v>41395</v>
      </c>
      <c r="D17" s="10" t="n">
        <v>150</v>
      </c>
      <c r="E17" s="7" t="inlineStr">
        <is>
          <t>12446-1,12446-2,12446-3</t>
        </is>
      </c>
      <c r="F17" s="8" t="inlineStr">
        <is>
          <t>HAUTE PROPERTY SDN. BHD.</t>
        </is>
      </c>
      <c r="G17" s="10" t="n"/>
      <c r="H17" s="10" t="n">
        <v>68</v>
      </c>
      <c r="I17" s="11">
        <f>H17/$D$17</f>
        <v/>
      </c>
      <c r="J17" s="10">
        <f>K17-H17</f>
        <v/>
      </c>
      <c r="K17" s="10" t="n">
        <v>68</v>
      </c>
      <c r="L17" s="11">
        <f>K17/$D$17</f>
        <v/>
      </c>
      <c r="M17" s="10">
        <f>N17-K17</f>
        <v/>
      </c>
      <c r="N17" s="10" t="n">
        <v>68</v>
      </c>
      <c r="O17" s="11">
        <f>N17/$D$17</f>
        <v/>
      </c>
      <c r="P17" s="10">
        <f>Q17-N17</f>
        <v/>
      </c>
      <c r="Q17" s="10" t="n">
        <v>68</v>
      </c>
      <c r="R17" s="11">
        <f>Q17/$D$17</f>
        <v/>
      </c>
      <c r="S17" s="12">
        <f>T17-Q17</f>
        <v/>
      </c>
      <c r="T17" s="12" t="n">
        <v>68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Central Residences</t>
        </is>
      </c>
      <c r="C18" s="9" t="n">
        <v>43901</v>
      </c>
      <c r="D18" s="10" t="n">
        <v>291</v>
      </c>
      <c r="E18" s="7" t="inlineStr">
        <is>
          <t>835-10</t>
        </is>
      </c>
      <c r="F18" s="8" t="inlineStr">
        <is>
          <t>PERMAS JAYA SDN. BHD.</t>
        </is>
      </c>
      <c r="G18" s="10" t="n"/>
      <c r="H18" s="10" t="n">
        <v>281</v>
      </c>
      <c r="I18" s="11">
        <f>H18/$D$18</f>
        <v/>
      </c>
      <c r="J18" s="10">
        <f>K18-H18</f>
        <v/>
      </c>
      <c r="K18" s="10" t="n">
        <v>281</v>
      </c>
      <c r="L18" s="11">
        <f>K18/$D$18</f>
        <v/>
      </c>
      <c r="M18" s="10">
        <f>N18-K18</f>
        <v/>
      </c>
      <c r="N18" s="10" t="n">
        <v>281</v>
      </c>
      <c r="O18" s="11">
        <f>N18/$D$18</f>
        <v/>
      </c>
      <c r="P18" s="10">
        <f>Q18-N18</f>
        <v/>
      </c>
      <c r="Q18" s="10" t="n">
        <v>281</v>
      </c>
      <c r="R18" s="11">
        <f>Q18/$D$18</f>
        <v/>
      </c>
      <c r="S18" s="12">
        <f>T18-Q18</f>
        <v/>
      </c>
      <c r="T18" s="12" t="n">
        <v>281</v>
      </c>
      <c r="U18" s="13">
        <f>T18/$D$18</f>
        <v/>
      </c>
      <c r="V18" s="8" t="inlineStr">
        <is>
          <t>Latest sales - Block C: 281 units</t>
        </is>
      </c>
    </row>
    <row r="19">
      <c r="A19" s="7" t="n">
        <v>15</v>
      </c>
      <c r="B19" s="8" t="inlineStr">
        <is>
          <t>Damansara Heights</t>
        </is>
      </c>
      <c r="C19" s="9" t="n"/>
      <c r="D19" s="10" t="n">
        <v>0</v>
      </c>
      <c r="E19" s="7" t="inlineStr"/>
      <c r="F19" s="8" t="inlineStr"/>
      <c r="G19" s="10" t="n"/>
      <c r="H19" s="10" t="n"/>
      <c r="I19" s="11" t="n"/>
      <c r="J19" s="10" t="n"/>
      <c r="K19" s="10" t="n"/>
      <c r="L19" s="11" t="n"/>
      <c r="M19" s="10" t="n"/>
      <c r="N19" s="10" t="n"/>
      <c r="O19" s="11" t="n"/>
      <c r="P19" s="10" t="n"/>
      <c r="Q19" s="10" t="n"/>
      <c r="R19" s="11" t="n"/>
      <c r="S19" s="12" t="n"/>
      <c r="T19" s="12" t="n"/>
      <c r="U19" s="13" t="n"/>
      <c r="V19" s="8" t="inlineStr">
        <is>
          <t>Not launched yet.</t>
        </is>
      </c>
    </row>
    <row r="20">
      <c r="A20" s="7" t="n">
        <v>16</v>
      </c>
      <c r="B20" s="8" t="inlineStr">
        <is>
          <t>The Pulse Residence</t>
        </is>
      </c>
      <c r="C20" s="9" t="n">
        <v>43946</v>
      </c>
      <c r="D20" s="10" t="n">
        <v>579</v>
      </c>
      <c r="E20" s="7" t="inlineStr">
        <is>
          <t>19907-1</t>
        </is>
      </c>
      <c r="F20" s="8" t="inlineStr">
        <is>
          <t>BSC LAND DEVELOPMENT SDN. BHD.</t>
        </is>
      </c>
      <c r="G20" s="10" t="n"/>
      <c r="H20" s="10" t="n">
        <v>553</v>
      </c>
      <c r="I20" s="11">
        <f>H20/$D$20</f>
        <v/>
      </c>
      <c r="J20" s="10">
        <f>K20-H20</f>
        <v/>
      </c>
      <c r="K20" s="10" t="n">
        <v>553</v>
      </c>
      <c r="L20" s="11">
        <f>K20/$D$20</f>
        <v/>
      </c>
      <c r="M20" s="10">
        <f>N20-K20</f>
        <v/>
      </c>
      <c r="N20" s="10" t="n">
        <v>553</v>
      </c>
      <c r="O20" s="11">
        <f>N20/$D$20</f>
        <v/>
      </c>
      <c r="P20" s="10">
        <f>Q20-N20</f>
        <v/>
      </c>
      <c r="Q20" s="10" t="n">
        <v>553</v>
      </c>
      <c r="R20" s="11">
        <f>Q20/$D$20</f>
        <v/>
      </c>
      <c r="S20" s="12">
        <f>T20-Q20</f>
        <v/>
      </c>
      <c r="T20" s="12" t="n">
        <v>553</v>
      </c>
      <c r="U20" s="13">
        <f>T20/$D$20</f>
        <v/>
      </c>
      <c r="V20" s="8" t="inlineStr">
        <is>
          <t>Latest sales - Block A: 277 units, Block B: 276 units</t>
        </is>
      </c>
    </row>
    <row r="21">
      <c r="A21" s="7" t="n">
        <v>17</v>
      </c>
      <c r="B21" s="8" t="inlineStr">
        <is>
          <t>The Straits View Link</t>
        </is>
      </c>
      <c r="C21" s="9" t="n">
        <v>44809</v>
      </c>
      <c r="D21" s="10" t="n">
        <v>142</v>
      </c>
      <c r="E21" s="7" t="inlineStr">
        <is>
          <t>835-11</t>
        </is>
      </c>
      <c r="F21" s="8" t="inlineStr">
        <is>
          <t>PERMAS JAYA SDN. BHD.</t>
        </is>
      </c>
      <c r="G21" s="10" t="n"/>
      <c r="H21" s="10" t="n">
        <v>127</v>
      </c>
      <c r="I21" s="11">
        <f>H21/$D$21</f>
        <v/>
      </c>
      <c r="J21" s="10">
        <f>K21-H21</f>
        <v/>
      </c>
      <c r="K21" s="10" t="n">
        <v>127</v>
      </c>
      <c r="L21" s="11">
        <f>K21/$D$21</f>
        <v/>
      </c>
      <c r="M21" s="10">
        <f>N21-K21</f>
        <v/>
      </c>
      <c r="N21" s="10" t="n">
        <v>127</v>
      </c>
      <c r="O21" s="11">
        <f>N21/$D$21</f>
        <v/>
      </c>
      <c r="P21" s="10">
        <f>Q21-N21</f>
        <v/>
      </c>
      <c r="Q21" s="10" t="n">
        <v>127</v>
      </c>
      <c r="R21" s="11">
        <f>Q21/$D$21</f>
        <v/>
      </c>
      <c r="S21" s="12">
        <f>T21-Q21</f>
        <v/>
      </c>
      <c r="T21" s="12" t="n">
        <v>127</v>
      </c>
      <c r="U21" s="13">
        <f>T21/$D$21</f>
        <v/>
      </c>
      <c r="V21" s="8" t="inlineStr"/>
    </row>
    <row r="22">
      <c r="A22" s="7" t="n">
        <v>18</v>
      </c>
      <c r="B22" s="8" t="inlineStr">
        <is>
          <t>The Straits View Homes</t>
        </is>
      </c>
      <c r="C22" s="9" t="n">
        <v>43306</v>
      </c>
      <c r="D22" s="10" t="n">
        <v>269</v>
      </c>
      <c r="E22" s="7" t="inlineStr">
        <is>
          <t>835-8,835-9</t>
        </is>
      </c>
      <c r="F22" s="8" t="inlineStr">
        <is>
          <t>PERMAS JAYA SDN. BHD.</t>
        </is>
      </c>
      <c r="G22" s="10" t="n"/>
      <c r="H22" s="10" t="n">
        <v>173</v>
      </c>
      <c r="I22" s="11">
        <f>H22/$D$22</f>
        <v/>
      </c>
      <c r="J22" s="10">
        <f>K22-H22</f>
        <v/>
      </c>
      <c r="K22" s="10" t="n">
        <v>173</v>
      </c>
      <c r="L22" s="11">
        <f>K22/$D$22</f>
        <v/>
      </c>
      <c r="M22" s="10">
        <f>N22-K22</f>
        <v/>
      </c>
      <c r="N22" s="10" t="n">
        <v>173</v>
      </c>
      <c r="O22" s="11">
        <f>N22/$D$22</f>
        <v/>
      </c>
      <c r="P22" s="10">
        <f>Q22-N22</f>
        <v/>
      </c>
      <c r="Q22" s="10" t="n">
        <v>173</v>
      </c>
      <c r="R22" s="11">
        <f>Q22/$D$22</f>
        <v/>
      </c>
      <c r="S22" s="12">
        <f>T22-Q22</f>
        <v/>
      </c>
      <c r="T22" s="12" t="n">
        <v>173</v>
      </c>
      <c r="U22" s="13">
        <f>T22/$D$22</f>
        <v/>
      </c>
      <c r="V22" s="8" t="inlineStr"/>
    </row>
    <row r="23">
      <c r="A23" s="7" t="n">
        <v>19</v>
      </c>
      <c r="B23" s="8" t="inlineStr">
        <is>
          <t>The Straits View Residences</t>
        </is>
      </c>
      <c r="C23" s="9" t="n">
        <v>40288</v>
      </c>
      <c r="D23" s="10" t="n">
        <v>220</v>
      </c>
      <c r="E23" s="7" t="inlineStr">
        <is>
          <t>835-6,835-7</t>
        </is>
      </c>
      <c r="F23" s="8" t="inlineStr">
        <is>
          <t>PERMAS JAYA SDN. BHD.</t>
        </is>
      </c>
      <c r="G23" s="10" t="n"/>
      <c r="H23" s="10" t="n">
        <v>94</v>
      </c>
      <c r="I23" s="11">
        <f>H23/$D$23</f>
        <v/>
      </c>
      <c r="J23" s="10">
        <f>K23-H23</f>
        <v/>
      </c>
      <c r="K23" s="10" t="n">
        <v>94</v>
      </c>
      <c r="L23" s="11">
        <f>K23/$D$23</f>
        <v/>
      </c>
      <c r="M23" s="10">
        <f>N23-K23</f>
        <v/>
      </c>
      <c r="N23" s="10" t="n">
        <v>94</v>
      </c>
      <c r="O23" s="11">
        <f>N23/$D$23</f>
        <v/>
      </c>
      <c r="P23" s="10">
        <f>Q23-N23</f>
        <v/>
      </c>
      <c r="Q23" s="10" t="n">
        <v>94</v>
      </c>
      <c r="R23" s="11">
        <f>Q23/$D$23</f>
        <v/>
      </c>
      <c r="S23" s="12">
        <f>T23-Q23</f>
        <v/>
      </c>
      <c r="T23" s="12" t="n">
        <v>94</v>
      </c>
      <c r="U23" s="13">
        <f>T23/$D$23</f>
        <v/>
      </c>
      <c r="V23" s="8" t="inlineStr"/>
    </row>
    <row r="24">
      <c r="A24" s="7" t="n">
        <v>20</v>
      </c>
      <c r="B24" s="8" t="inlineStr">
        <is>
          <t>One Menerung</t>
        </is>
      </c>
      <c r="C24" s="9" t="n">
        <v>38848</v>
      </c>
      <c r="D24" s="10" t="n">
        <v>229</v>
      </c>
      <c r="E24" s="7" t="inlineStr">
        <is>
          <t>32-13</t>
        </is>
      </c>
      <c r="F24" s="8" t="inlineStr">
        <is>
          <t>BRDB DEVELOPMENTS SDN. BHD.</t>
        </is>
      </c>
      <c r="G24" s="10" t="n"/>
      <c r="H24" s="10" t="n">
        <v>0</v>
      </c>
      <c r="I24" s="11">
        <f>H24/$D$24</f>
        <v/>
      </c>
      <c r="J24" s="10">
        <f>K24-H24</f>
        <v/>
      </c>
      <c r="K24" s="10" t="n">
        <v>0</v>
      </c>
      <c r="L24" s="11">
        <f>K24/$D$24</f>
        <v/>
      </c>
      <c r="M24" s="10">
        <f>N24-K24</f>
        <v/>
      </c>
      <c r="N24" s="10" t="n">
        <v>0</v>
      </c>
      <c r="O24" s="11">
        <f>N24/$D$24</f>
        <v/>
      </c>
      <c r="P24" s="10">
        <f>Q24-N24</f>
        <v/>
      </c>
      <c r="Q24" s="10" t="n">
        <v>0</v>
      </c>
      <c r="R24" s="11">
        <f>Q24/$D$24</f>
        <v/>
      </c>
      <c r="S24" s="12">
        <f>T24-Q24</f>
        <v/>
      </c>
      <c r="T24" s="12" t="n">
        <v>0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6 CapSquare</t>
        </is>
      </c>
      <c r="C25" s="9" t="n">
        <v>38260</v>
      </c>
      <c r="D25" s="10" t="n">
        <v>180</v>
      </c>
      <c r="E25" s="7" t="inlineStr">
        <is>
          <t>5997-1</t>
        </is>
      </c>
      <c r="F25" s="8" t="inlineStr">
        <is>
          <t>CAPITAL SQUARE SDN. BHD. (Bandar Raya Developments Bhd)</t>
        </is>
      </c>
      <c r="G25" s="10" t="n"/>
      <c r="H25" s="10" t="n">
        <v>0</v>
      </c>
      <c r="I25" s="11">
        <f>H25/$D$25</f>
        <v/>
      </c>
      <c r="J25" s="10">
        <f>K25-H25</f>
        <v/>
      </c>
      <c r="K25" s="10" t="n">
        <v>0</v>
      </c>
      <c r="L25" s="11">
        <f>K25/$D$25</f>
        <v/>
      </c>
      <c r="M25" s="10">
        <f>N25-K25</f>
        <v/>
      </c>
      <c r="N25" s="10" t="n">
        <v>0</v>
      </c>
      <c r="O25" s="11">
        <f>N25/$D$25</f>
        <v/>
      </c>
      <c r="P25" s="10">
        <f>Q25-N25</f>
        <v/>
      </c>
      <c r="Q25" s="10" t="n">
        <v>0</v>
      </c>
      <c r="R25" s="11">
        <f>Q25/$D$25</f>
        <v/>
      </c>
      <c r="S25" s="12">
        <f>T25-Q25</f>
        <v/>
      </c>
      <c r="T25" s="12" t="n">
        <v>0</v>
      </c>
      <c r="U25" s="13">
        <f>T25/$D$25</f>
        <v/>
      </c>
      <c r="V25" s="8" t="inlineStr"/>
    </row>
    <row r="26">
      <c r="A26" s="7" t="n">
        <v>22</v>
      </c>
      <c r="B26" s="8" t="inlineStr">
        <is>
          <t>Verdana</t>
        </is>
      </c>
      <c r="C26" s="9" t="n">
        <v>40702</v>
      </c>
      <c r="D26" s="10" t="n">
        <v>298</v>
      </c>
      <c r="E26" s="7" t="inlineStr">
        <is>
          <t>11611-1</t>
        </is>
      </c>
      <c r="F26" s="8" t="inlineStr">
        <is>
          <t>FREEDOM ESTATES SDN. BHD.</t>
        </is>
      </c>
      <c r="G26" s="10" t="n"/>
      <c r="H26" s="10" t="n">
        <v>277</v>
      </c>
      <c r="I26" s="11">
        <f>H26/$D$26</f>
        <v/>
      </c>
      <c r="J26" s="10">
        <f>K26-H26</f>
        <v/>
      </c>
      <c r="K26" s="10" t="n">
        <v>277</v>
      </c>
      <c r="L26" s="11">
        <f>K26/$D$26</f>
        <v/>
      </c>
      <c r="M26" s="10">
        <f>N26-K26</f>
        <v/>
      </c>
      <c r="N26" s="10" t="n">
        <v>277</v>
      </c>
      <c r="O26" s="11">
        <f>N26/$D$26</f>
        <v/>
      </c>
      <c r="P26" s="10">
        <f>Q26-N26</f>
        <v/>
      </c>
      <c r="Q26" s="10" t="n">
        <v>277</v>
      </c>
      <c r="R26" s="11">
        <f>Q26/$D$26</f>
        <v/>
      </c>
      <c r="S26" s="12">
        <f>T26-Q26</f>
        <v/>
      </c>
      <c r="T26" s="12" t="n">
        <v>277</v>
      </c>
      <c r="U26" s="13">
        <f>T26/$D$26</f>
        <v/>
      </c>
      <c r="V26" s="8" t="inlineStr">
        <is>
          <t>Latest sales - Block A1: 130 units, Block A2: 131 units, Block B: 16 units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Y1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(CHIN HIN)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Amberwood Resort Residences</t>
        </is>
      </c>
      <c r="C5" s="9" t="n">
        <v>46028</v>
      </c>
      <c r="D5" s="10" t="n">
        <v>824</v>
      </c>
      <c r="E5" s="7" t="inlineStr">
        <is>
          <t>13531-2</t>
        </is>
      </c>
      <c r="F5" s="8" t="inlineStr">
        <is>
          <t>AFFLUENT CRAFTS SDN. BHD.</t>
        </is>
      </c>
      <c r="G5" s="10" t="n"/>
      <c r="H5" s="10" t="n">
        <v>727</v>
      </c>
      <c r="I5" s="11">
        <f>H5/$D$5</f>
        <v/>
      </c>
      <c r="J5" s="10">
        <f>K5-H5</f>
        <v/>
      </c>
      <c r="K5" s="10" t="n">
        <v>733</v>
      </c>
      <c r="L5" s="11">
        <f>K5/$D$5</f>
        <v/>
      </c>
      <c r="M5" s="10">
        <f>N5-K5</f>
        <v/>
      </c>
      <c r="N5" s="10" t="n">
        <v>735</v>
      </c>
      <c r="O5" s="11">
        <f>N5/$D$5</f>
        <v/>
      </c>
      <c r="P5" s="10">
        <f>Q5-N5</f>
        <v/>
      </c>
      <c r="Q5" s="10" t="n">
        <v>742</v>
      </c>
      <c r="R5" s="11">
        <f>Q5/$D$5</f>
        <v/>
      </c>
      <c r="S5" s="10">
        <f>T5-Q5</f>
        <v/>
      </c>
      <c r="T5" s="10" t="n">
        <v>745</v>
      </c>
      <c r="U5" s="11">
        <f>T5/$D$5</f>
        <v/>
      </c>
      <c r="V5" s="12">
        <f>W5-T5</f>
        <v/>
      </c>
      <c r="W5" s="12" t="n">
        <v>749</v>
      </c>
      <c r="X5" s="13">
        <f>W5/$D$5</f>
        <v/>
      </c>
      <c r="Y5" s="8" t="inlineStr">
        <is>
          <t>Latest sales - Block A: 457 units, Block B: 292 units</t>
        </is>
      </c>
    </row>
    <row r="6">
      <c r="A6" s="7" t="n">
        <v>2</v>
      </c>
      <c r="B6" s="8" t="inlineStr">
        <is>
          <t>Aricia Residences</t>
        </is>
      </c>
      <c r="C6" s="9" t="n">
        <v>45682</v>
      </c>
      <c r="D6" s="10" t="n">
        <v>787</v>
      </c>
      <c r="E6" s="7" t="inlineStr">
        <is>
          <t>30632-1</t>
        </is>
      </c>
      <c r="F6" s="8" t="inlineStr">
        <is>
          <t>ARICIA SDN. BHD.</t>
        </is>
      </c>
      <c r="G6" s="10" t="n"/>
      <c r="H6" s="10" t="n">
        <v>603</v>
      </c>
      <c r="I6" s="11">
        <f>H6/$D$6</f>
        <v/>
      </c>
      <c r="J6" s="10">
        <f>K6-H6</f>
        <v/>
      </c>
      <c r="K6" s="10" t="n">
        <v>604</v>
      </c>
      <c r="L6" s="11">
        <f>K6/$D$6</f>
        <v/>
      </c>
      <c r="M6" s="10">
        <f>N6-K6</f>
        <v/>
      </c>
      <c r="N6" s="10" t="n">
        <v>605</v>
      </c>
      <c r="O6" s="11">
        <f>N6/$D$6</f>
        <v/>
      </c>
      <c r="P6" s="10">
        <f>Q6-N6</f>
        <v/>
      </c>
      <c r="Q6" s="10" t="n">
        <v>607</v>
      </c>
      <c r="R6" s="11">
        <f>Q6/$D$6</f>
        <v/>
      </c>
      <c r="S6" s="10">
        <f>T6-Q6</f>
        <v/>
      </c>
      <c r="T6" s="10" t="n">
        <v>610</v>
      </c>
      <c r="U6" s="11">
        <f>T6/$D$6</f>
        <v/>
      </c>
      <c r="V6" s="12">
        <f>W6-T6</f>
        <v/>
      </c>
      <c r="W6" s="12" t="n">
        <v>613</v>
      </c>
      <c r="X6" s="13">
        <f>W6/$D$6</f>
        <v/>
      </c>
      <c r="Y6" s="8" t="inlineStr">
        <is>
          <t>Latest sales - Block A: 306 units, Block B: 307 units</t>
        </is>
      </c>
    </row>
    <row r="7">
      <c r="A7" s="7" t="n">
        <v>3</v>
      </c>
      <c r="B7" s="8" t="inlineStr">
        <is>
          <t>Avantro Residences</t>
        </is>
      </c>
      <c r="C7" s="9" t="n">
        <v>45258</v>
      </c>
      <c r="D7" s="10" t="n">
        <v>842</v>
      </c>
      <c r="E7" s="7" t="inlineStr">
        <is>
          <t>30190-1</t>
        </is>
      </c>
      <c r="F7" s="8" t="inlineStr">
        <is>
          <t>BOON KOON COMMERCIAL SDN. BHD.</t>
        </is>
      </c>
      <c r="G7" s="10" t="n"/>
      <c r="H7" s="10" t="n">
        <v>809</v>
      </c>
      <c r="I7" s="11">
        <f>H7/$D$7</f>
        <v/>
      </c>
      <c r="J7" s="10">
        <f>K7-H7</f>
        <v/>
      </c>
      <c r="K7" s="10" t="n">
        <v>809</v>
      </c>
      <c r="L7" s="11">
        <f>K7/$D$7</f>
        <v/>
      </c>
      <c r="M7" s="10">
        <f>N7-K7</f>
        <v/>
      </c>
      <c r="N7" s="10" t="n">
        <v>811</v>
      </c>
      <c r="O7" s="11">
        <f>N7/$D$7</f>
        <v/>
      </c>
      <c r="P7" s="10">
        <f>Q7-N7</f>
        <v/>
      </c>
      <c r="Q7" s="10" t="n">
        <v>811</v>
      </c>
      <c r="R7" s="11">
        <f>Q7/$D$7</f>
        <v/>
      </c>
      <c r="S7" s="10">
        <f>T7-Q7</f>
        <v/>
      </c>
      <c r="T7" s="10" t="n">
        <v>811</v>
      </c>
      <c r="U7" s="11">
        <f>T7/$D$7</f>
        <v/>
      </c>
      <c r="V7" s="12">
        <f>W7-T7</f>
        <v/>
      </c>
      <c r="W7" s="12" t="n">
        <v>811</v>
      </c>
      <c r="X7" s="13">
        <f>W7/$D$7</f>
        <v/>
      </c>
      <c r="Y7" s="8" t="inlineStr">
        <is>
          <t>Latest sales - Block A: 336 units, Block B: 475 units</t>
        </is>
      </c>
    </row>
    <row r="8">
      <c r="A8" s="7" t="n">
        <v>4</v>
      </c>
      <c r="B8" s="8" t="inlineStr">
        <is>
          <t>Ayanna Resort Residences</t>
        </is>
      </c>
      <c r="C8" s="9" t="n">
        <v>45098</v>
      </c>
      <c r="D8" s="10" t="n">
        <v>824</v>
      </c>
      <c r="E8" s="7" t="inlineStr">
        <is>
          <t>30382-1,30382-2</t>
        </is>
      </c>
      <c r="F8" s="8" t="inlineStr">
        <is>
          <t>BKSP AUTOWORLD SDN. BHD.</t>
        </is>
      </c>
      <c r="G8" s="10" t="n"/>
      <c r="H8" s="10" t="n">
        <v>761</v>
      </c>
      <c r="I8" s="11">
        <f>H8/$D$8</f>
        <v/>
      </c>
      <c r="J8" s="10">
        <f>K8-H8</f>
        <v/>
      </c>
      <c r="K8" s="10" t="n">
        <v>762</v>
      </c>
      <c r="L8" s="11">
        <f>K8/$D$8</f>
        <v/>
      </c>
      <c r="M8" s="10">
        <f>N8-K8</f>
        <v/>
      </c>
      <c r="N8" s="10" t="n">
        <v>762</v>
      </c>
      <c r="O8" s="11">
        <f>N8/$D$8</f>
        <v/>
      </c>
      <c r="P8" s="10">
        <f>Q8-N8</f>
        <v/>
      </c>
      <c r="Q8" s="10" t="n">
        <v>764</v>
      </c>
      <c r="R8" s="11">
        <f>Q8/$D$8</f>
        <v/>
      </c>
      <c r="S8" s="10">
        <f>T8-Q8</f>
        <v/>
      </c>
      <c r="T8" s="10" t="n">
        <v>764</v>
      </c>
      <c r="U8" s="11">
        <f>T8/$D$8</f>
        <v/>
      </c>
      <c r="V8" s="12">
        <f>W8-T8</f>
        <v/>
      </c>
      <c r="W8" s="12" t="n">
        <v>767</v>
      </c>
      <c r="X8" s="13">
        <f>W8/$D$8</f>
        <v/>
      </c>
      <c r="Y8" s="8" t="inlineStr">
        <is>
          <t>Latest sales - Block A: 322 units, Block B: 445 units</t>
        </is>
      </c>
    </row>
    <row r="9">
      <c r="A9" s="7" t="n">
        <v>5</v>
      </c>
      <c r="B9" s="8" t="inlineStr">
        <is>
          <t>Crown Penang</t>
        </is>
      </c>
      <c r="C9" s="9" t="n">
        <v>45503</v>
      </c>
      <c r="D9" s="10" t="n">
        <v>588</v>
      </c>
      <c r="E9" s="7" t="inlineStr">
        <is>
          <t>30744-1</t>
        </is>
      </c>
      <c r="F9" s="8" t="inlineStr">
        <is>
          <t>STELLAR PLATINUM SDN. BHD.</t>
        </is>
      </c>
      <c r="G9" s="10" t="n"/>
      <c r="H9" s="10" t="n">
        <v>482</v>
      </c>
      <c r="I9" s="11">
        <f>H9/$D$9</f>
        <v/>
      </c>
      <c r="J9" s="10">
        <f>K9-H9</f>
        <v/>
      </c>
      <c r="K9" s="10" t="n">
        <v>484</v>
      </c>
      <c r="L9" s="11">
        <f>K9/$D$9</f>
        <v/>
      </c>
      <c r="M9" s="10">
        <f>N9-K9</f>
        <v/>
      </c>
      <c r="N9" s="10" t="n">
        <v>486</v>
      </c>
      <c r="O9" s="11">
        <f>N9/$D$9</f>
        <v/>
      </c>
      <c r="P9" s="10">
        <f>Q9-N9</f>
        <v/>
      </c>
      <c r="Q9" s="10" t="n">
        <v>486</v>
      </c>
      <c r="R9" s="11">
        <f>Q9/$D$9</f>
        <v/>
      </c>
      <c r="S9" s="10">
        <f>T9-Q9</f>
        <v/>
      </c>
      <c r="T9" s="10" t="n">
        <v>487</v>
      </c>
      <c r="U9" s="11">
        <f>T9/$D$9</f>
        <v/>
      </c>
      <c r="V9" s="12">
        <f>W9-T9</f>
        <v/>
      </c>
      <c r="W9" s="12" t="n">
        <v>487</v>
      </c>
      <c r="X9" s="13">
        <f>W9/$D$9</f>
        <v/>
      </c>
      <c r="Y9" s="8" t="inlineStr"/>
    </row>
    <row r="10">
      <c r="A10" s="7" t="n">
        <v>6</v>
      </c>
      <c r="B10" s="8" t="inlineStr">
        <is>
          <t>DIVINE KLCC</t>
        </is>
      </c>
      <c r="C10" s="9" t="n">
        <v>46194</v>
      </c>
      <c r="D10" s="10" t="n">
        <v>1033</v>
      </c>
      <c r="E10" s="7" t="inlineStr">
        <is>
          <t>31096-1</t>
        </is>
      </c>
      <c r="F10" s="8" t="inlineStr">
        <is>
          <t>SINARAN URUSJUTA SDN. BHD.</t>
        </is>
      </c>
      <c r="G10" s="10" t="n"/>
      <c r="H10" s="10" t="n">
        <v>275</v>
      </c>
      <c r="I10" s="11">
        <f>H10/$D$10</f>
        <v/>
      </c>
      <c r="J10" s="10">
        <f>K10-H10</f>
        <v/>
      </c>
      <c r="K10" s="10" t="n">
        <v>283</v>
      </c>
      <c r="L10" s="11">
        <f>K10/$D$10</f>
        <v/>
      </c>
      <c r="M10" s="10">
        <f>N10-K10</f>
        <v/>
      </c>
      <c r="N10" s="10" t="n">
        <v>293</v>
      </c>
      <c r="O10" s="11">
        <f>N10/$D$10</f>
        <v/>
      </c>
      <c r="P10" s="10">
        <f>Q10-N10</f>
        <v/>
      </c>
      <c r="Q10" s="10" t="n">
        <v>304</v>
      </c>
      <c r="R10" s="11">
        <f>Q10/$D$10</f>
        <v/>
      </c>
      <c r="S10" s="10">
        <f>T10-Q10</f>
        <v/>
      </c>
      <c r="T10" s="10" t="n">
        <v>311</v>
      </c>
      <c r="U10" s="11">
        <f>T10/$D$10</f>
        <v/>
      </c>
      <c r="V10" s="12">
        <f>W10-T10</f>
        <v/>
      </c>
      <c r="W10" s="12" t="n">
        <v>321</v>
      </c>
      <c r="X10" s="13">
        <f>W10/$D$10</f>
        <v/>
      </c>
      <c r="Y10" s="8" t="inlineStr"/>
    </row>
    <row r="11">
      <c r="A11" s="7" t="n">
        <v>7</v>
      </c>
      <c r="B11" s="8" t="inlineStr">
        <is>
          <t>Quaver Residence</t>
        </is>
      </c>
      <c r="C11" s="9" t="n">
        <v>44797</v>
      </c>
      <c r="D11" s="10" t="n">
        <v>684</v>
      </c>
      <c r="E11" s="7" t="inlineStr">
        <is>
          <t>30064-1</t>
        </is>
      </c>
      <c r="F11" s="8" t="inlineStr">
        <is>
          <t>QUAVER SDN. BHD.</t>
        </is>
      </c>
      <c r="G11" s="10" t="n"/>
      <c r="H11" s="10" t="n">
        <v>678</v>
      </c>
      <c r="I11" s="11">
        <f>H11/$D$11</f>
        <v/>
      </c>
      <c r="J11" s="10">
        <f>K11-H11</f>
        <v/>
      </c>
      <c r="K11" s="10" t="n">
        <v>678</v>
      </c>
      <c r="L11" s="11">
        <f>K11/$D$11</f>
        <v/>
      </c>
      <c r="M11" s="10">
        <f>N11-K11</f>
        <v/>
      </c>
      <c r="N11" s="10" t="n">
        <v>678</v>
      </c>
      <c r="O11" s="11">
        <f>N11/$D$11</f>
        <v/>
      </c>
      <c r="P11" s="10">
        <f>Q11-N11</f>
        <v/>
      </c>
      <c r="Q11" s="10" t="n">
        <v>678</v>
      </c>
      <c r="R11" s="11">
        <f>Q11/$D$11</f>
        <v/>
      </c>
      <c r="S11" s="10">
        <f>T11-Q11</f>
        <v/>
      </c>
      <c r="T11" s="10" t="n">
        <v>678</v>
      </c>
      <c r="U11" s="11">
        <f>T11/$D$11</f>
        <v/>
      </c>
      <c r="V11" s="12">
        <f>W11-T11</f>
        <v/>
      </c>
      <c r="W11" s="12" t="n">
        <v>678</v>
      </c>
      <c r="X11" s="13">
        <f>W11/$D$11</f>
        <v/>
      </c>
      <c r="Y11" s="8" t="inlineStr">
        <is>
          <t>Latest sales - Block A: 313 units, Block B: 365 units</t>
        </is>
      </c>
    </row>
    <row r="12">
      <c r="A12" s="7" t="n">
        <v>8</v>
      </c>
      <c r="B12" s="8" t="inlineStr">
        <is>
          <t>Residensi Andalan</t>
        </is>
      </c>
      <c r="C12" s="9" t="n">
        <v>45488</v>
      </c>
      <c r="D12" s="10" t="n">
        <v>823</v>
      </c>
      <c r="E12" s="7" t="inlineStr">
        <is>
          <t>30382-3</t>
        </is>
      </c>
      <c r="F12" s="8" t="inlineStr">
        <is>
          <t>BKSP AUTOWORLD SDN. BHD.</t>
        </is>
      </c>
      <c r="G12" s="10" t="n"/>
      <c r="H12" s="10" t="n">
        <v>822</v>
      </c>
      <c r="I12" s="11">
        <f>H12/$D$12</f>
        <v/>
      </c>
      <c r="J12" s="10">
        <f>K12-H12</f>
        <v/>
      </c>
      <c r="K12" s="10" t="n">
        <v>822</v>
      </c>
      <c r="L12" s="11">
        <f>K12/$D$12</f>
        <v/>
      </c>
      <c r="M12" s="10">
        <f>N12-K12</f>
        <v/>
      </c>
      <c r="N12" s="10" t="n">
        <v>822</v>
      </c>
      <c r="O12" s="11">
        <f>N12/$D$12</f>
        <v/>
      </c>
      <c r="P12" s="10">
        <f>Q12-N12</f>
        <v/>
      </c>
      <c r="Q12" s="10" t="n">
        <v>822</v>
      </c>
      <c r="R12" s="11">
        <f>Q12/$D$12</f>
        <v/>
      </c>
      <c r="S12" s="10">
        <f>T12-Q12</f>
        <v/>
      </c>
      <c r="T12" s="10" t="n">
        <v>822</v>
      </c>
      <c r="U12" s="11">
        <f>T12/$D$12</f>
        <v/>
      </c>
      <c r="V12" s="12">
        <f>W12-T12</f>
        <v/>
      </c>
      <c r="W12" s="12" t="n">
        <v>823</v>
      </c>
      <c r="X12" s="13">
        <f>W12/$D$12</f>
        <v/>
      </c>
      <c r="Y12" s="8" t="inlineStr">
        <is>
          <t>Latest sales - Block A: 823 units</t>
        </is>
      </c>
    </row>
    <row r="13">
      <c r="A13" s="7" t="n">
        <v>9</v>
      </c>
      <c r="B13" s="8" t="inlineStr">
        <is>
          <t>Botanica Hills</t>
        </is>
      </c>
      <c r="C13" s="9" t="n">
        <v>45896</v>
      </c>
      <c r="D13" s="10" t="n">
        <v>231</v>
      </c>
      <c r="E13" s="7" t="inlineStr">
        <is>
          <t>30907-1,30907-2</t>
        </is>
      </c>
      <c r="F13" s="8" t="inlineStr"/>
      <c r="G13" s="10" t="n"/>
      <c r="H13" s="10" t="n">
        <v>221</v>
      </c>
      <c r="I13" s="11">
        <f>H13/$D$13</f>
        <v/>
      </c>
      <c r="J13" s="10">
        <f>K13-H13</f>
        <v/>
      </c>
      <c r="K13" s="10" t="n">
        <v>221</v>
      </c>
      <c r="L13" s="11">
        <f>K13/$D$13</f>
        <v/>
      </c>
      <c r="M13" s="10">
        <f>N13-K13</f>
        <v/>
      </c>
      <c r="N13" s="10" t="n">
        <v>221</v>
      </c>
      <c r="O13" s="11">
        <f>N13/$D$13</f>
        <v/>
      </c>
      <c r="P13" s="10">
        <f>Q13-N13</f>
        <v/>
      </c>
      <c r="Q13" s="10" t="n">
        <v>222</v>
      </c>
      <c r="R13" s="11">
        <f>Q13/$D$13</f>
        <v/>
      </c>
      <c r="S13" s="10">
        <f>T13-Q13</f>
        <v/>
      </c>
      <c r="T13" s="10" t="n">
        <v>222</v>
      </c>
      <c r="U13" s="11">
        <f>T13/$D$13</f>
        <v/>
      </c>
      <c r="V13" s="12">
        <f>W13-T13</f>
        <v/>
      </c>
      <c r="W13" s="12" t="n">
        <v>222</v>
      </c>
      <c r="X13" s="13">
        <f>W13/$D$13</f>
        <v/>
      </c>
      <c r="Y13" s="8" t="inlineStr"/>
    </row>
    <row r="14">
      <c r="A14" s="7" t="n">
        <v>10</v>
      </c>
      <c r="B14" s="8" t="inlineStr">
        <is>
          <t>Dawn KLCC</t>
        </is>
      </c>
      <c r="C14" s="9" t="n">
        <v>45505</v>
      </c>
      <c r="D14" s="10" t="n">
        <v>492</v>
      </c>
      <c r="E14" s="7" t="inlineStr">
        <is>
          <t>30629-2</t>
        </is>
      </c>
      <c r="F14" s="8" t="inlineStr"/>
      <c r="G14" s="10" t="n"/>
      <c r="H14" s="10" t="n">
        <v>477</v>
      </c>
      <c r="I14" s="11">
        <f>H14/$D$14</f>
        <v/>
      </c>
      <c r="J14" s="10">
        <f>K14-H14</f>
        <v/>
      </c>
      <c r="K14" s="10" t="n">
        <v>477</v>
      </c>
      <c r="L14" s="11">
        <f>K14/$D$14</f>
        <v/>
      </c>
      <c r="M14" s="10">
        <f>N14-K14</f>
        <v/>
      </c>
      <c r="N14" s="10" t="n">
        <v>479</v>
      </c>
      <c r="O14" s="11">
        <f>N14/$D$14</f>
        <v/>
      </c>
      <c r="P14" s="10">
        <f>Q14-N14</f>
        <v/>
      </c>
      <c r="Q14" s="10" t="n">
        <v>479</v>
      </c>
      <c r="R14" s="11">
        <f>Q14/$D$14</f>
        <v/>
      </c>
      <c r="S14" s="10">
        <f>T14-Q14</f>
        <v/>
      </c>
      <c r="T14" s="10" t="n">
        <v>480</v>
      </c>
      <c r="U14" s="11">
        <f>T14/$D$14</f>
        <v/>
      </c>
      <c r="V14" s="12">
        <f>W14-T14</f>
        <v/>
      </c>
      <c r="W14" s="12" t="n">
        <v>480</v>
      </c>
      <c r="X14" s="13">
        <f>W14/$D$14</f>
        <v/>
      </c>
      <c r="Y14" s="8" t="inlineStr"/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V1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(CPI LAND)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Dian Residency</t>
        </is>
      </c>
      <c r="C5" s="9" t="n">
        <v>44111</v>
      </c>
      <c r="D5" s="10" t="n">
        <v>651</v>
      </c>
      <c r="E5" s="7" t="inlineStr">
        <is>
          <t>19991-1</t>
        </is>
      </c>
      <c r="F5" s="8" t="inlineStr">
        <is>
          <t>ARA VILLE SDN. BHD.</t>
        </is>
      </c>
      <c r="G5" s="10" t="n"/>
      <c r="H5" s="10" t="n">
        <v>647</v>
      </c>
      <c r="I5" s="11">
        <f>H5/$D$5</f>
        <v/>
      </c>
      <c r="J5" s="10">
        <f>K5-H5</f>
        <v/>
      </c>
      <c r="K5" s="10" t="n">
        <v>647</v>
      </c>
      <c r="L5" s="11">
        <f>K5/$D$5</f>
        <v/>
      </c>
      <c r="M5" s="10">
        <f>N5-K5</f>
        <v/>
      </c>
      <c r="N5" s="10" t="n">
        <v>647</v>
      </c>
      <c r="O5" s="11">
        <f>N5/$D$5</f>
        <v/>
      </c>
      <c r="P5" s="10">
        <f>Q5-N5</f>
        <v/>
      </c>
      <c r="Q5" s="10" t="n">
        <v>647</v>
      </c>
      <c r="R5" s="11">
        <f>Q5/$D$5</f>
        <v/>
      </c>
      <c r="S5" s="12">
        <f>T5-Q5</f>
        <v/>
      </c>
      <c r="T5" s="12" t="n">
        <v>647</v>
      </c>
      <c r="U5" s="13">
        <f>T5/$D$5</f>
        <v/>
      </c>
      <c r="V5" s="8" t="inlineStr">
        <is>
          <t>Latest sales - Block A: 392 units, Block B: 255 units</t>
        </is>
      </c>
    </row>
    <row r="6">
      <c r="A6" s="7" t="n">
        <v>2</v>
      </c>
      <c r="B6" s="8" t="inlineStr">
        <is>
          <t>Serintin</t>
        </is>
      </c>
      <c r="C6" s="9" t="n">
        <v>42524</v>
      </c>
      <c r="D6" s="10" t="n">
        <v>137</v>
      </c>
      <c r="E6" s="7" t="inlineStr">
        <is>
          <t>14377-1</t>
        </is>
      </c>
      <c r="F6" s="8" t="inlineStr">
        <is>
          <t>BERKELEY HEIGHTS SDN. BHD.</t>
        </is>
      </c>
      <c r="G6" s="10" t="n"/>
      <c r="H6" s="10" t="n">
        <v>114</v>
      </c>
      <c r="I6" s="11">
        <f>H6/$D$6</f>
        <v/>
      </c>
      <c r="J6" s="10">
        <f>K6-H6</f>
        <v/>
      </c>
      <c r="K6" s="10" t="n">
        <v>114</v>
      </c>
      <c r="L6" s="11">
        <f>K6/$D$6</f>
        <v/>
      </c>
      <c r="M6" s="10">
        <f>N6-K6</f>
        <v/>
      </c>
      <c r="N6" s="10" t="n">
        <v>114</v>
      </c>
      <c r="O6" s="11">
        <f>N6/$D$6</f>
        <v/>
      </c>
      <c r="P6" s="10">
        <f>Q6-N6</f>
        <v/>
      </c>
      <c r="Q6" s="10" t="n">
        <v>114</v>
      </c>
      <c r="R6" s="11">
        <f>Q6/$D$6</f>
        <v/>
      </c>
      <c r="S6" s="12">
        <f>T6-Q6</f>
        <v/>
      </c>
      <c r="T6" s="12" t="n">
        <v>114</v>
      </c>
      <c r="U6" s="13">
        <f>T6/$D$6</f>
        <v/>
      </c>
      <c r="V6" s="8" t="inlineStr"/>
    </row>
    <row r="7">
      <c r="A7" s="7" t="n">
        <v>3</v>
      </c>
      <c r="B7" s="8" t="inlineStr">
        <is>
          <t>Permata Gemma</t>
        </is>
      </c>
      <c r="C7" s="9" t="n">
        <v>45972</v>
      </c>
      <c r="D7" s="10" t="n">
        <v>60</v>
      </c>
      <c r="E7" s="7" t="inlineStr">
        <is>
          <t>30965-1</t>
        </is>
      </c>
      <c r="F7" s="8" t="inlineStr">
        <is>
          <t>CPI ASSET SDN. BHD.</t>
        </is>
      </c>
      <c r="G7" s="10" t="n"/>
      <c r="H7" s="10" t="n">
        <v>52</v>
      </c>
      <c r="I7" s="11">
        <f>H7/$D$7</f>
        <v/>
      </c>
      <c r="J7" s="10">
        <f>K7-H7</f>
        <v/>
      </c>
      <c r="K7" s="10" t="n">
        <v>52</v>
      </c>
      <c r="L7" s="11">
        <f>K7/$D$7</f>
        <v/>
      </c>
      <c r="M7" s="10">
        <f>N7-K7</f>
        <v/>
      </c>
      <c r="N7" s="10" t="n">
        <v>52</v>
      </c>
      <c r="O7" s="11">
        <f>N7/$D$7</f>
        <v/>
      </c>
      <c r="P7" s="10">
        <f>Q7-N7</f>
        <v/>
      </c>
      <c r="Q7" s="10" t="n">
        <v>52</v>
      </c>
      <c r="R7" s="11">
        <f>Q7/$D$7</f>
        <v/>
      </c>
      <c r="S7" s="12">
        <f>T7-Q7</f>
        <v/>
      </c>
      <c r="T7" s="12" t="n">
        <v>52</v>
      </c>
      <c r="U7" s="13">
        <f>T7/$D$7</f>
        <v/>
      </c>
      <c r="V7" s="8" t="inlineStr"/>
    </row>
    <row r="8">
      <c r="A8" s="7" t="n">
        <v>4</v>
      </c>
      <c r="B8" s="8" t="inlineStr">
        <is>
          <t>Tuan 2egacy</t>
        </is>
      </c>
      <c r="C8" s="9" t="n">
        <v>44510</v>
      </c>
      <c r="D8" s="10" t="n">
        <v>596</v>
      </c>
      <c r="E8" s="7" t="inlineStr">
        <is>
          <t>20179-1</t>
        </is>
      </c>
      <c r="F8" s="8" t="inlineStr">
        <is>
          <t>CPI CITY SDN. BHD.</t>
        </is>
      </c>
      <c r="G8" s="10" t="n"/>
      <c r="H8" s="10" t="n">
        <v>596</v>
      </c>
      <c r="I8" s="11">
        <f>H8/$D$8</f>
        <v/>
      </c>
      <c r="J8" s="10">
        <f>K8-H8</f>
        <v/>
      </c>
      <c r="K8" s="10" t="n">
        <v>596</v>
      </c>
      <c r="L8" s="11">
        <f>K8/$D$8</f>
        <v/>
      </c>
      <c r="M8" s="10">
        <f>N8-K8</f>
        <v/>
      </c>
      <c r="N8" s="10" t="n">
        <v>596</v>
      </c>
      <c r="O8" s="11">
        <f>N8/$D$8</f>
        <v/>
      </c>
      <c r="P8" s="10">
        <f>Q8-N8</f>
        <v/>
      </c>
      <c r="Q8" s="10" t="n">
        <v>596</v>
      </c>
      <c r="R8" s="11">
        <f>Q8/$D$8</f>
        <v/>
      </c>
      <c r="S8" s="12">
        <f>T8-Q8</f>
        <v/>
      </c>
      <c r="T8" s="12" t="n">
        <v>596</v>
      </c>
      <c r="U8" s="13">
        <f>T8/$D$8</f>
        <v/>
      </c>
      <c r="V8" s="8" t="inlineStr"/>
    </row>
    <row r="9">
      <c r="A9" s="7" t="n">
        <v>5</v>
      </c>
      <c r="B9" s="8" t="inlineStr">
        <is>
          <t>Avantas</t>
        </is>
      </c>
      <c r="C9" s="9" t="n">
        <v>41346</v>
      </c>
      <c r="D9" s="10" t="n">
        <v>198</v>
      </c>
      <c r="E9" s="7" t="inlineStr">
        <is>
          <t>12287-1</t>
        </is>
      </c>
      <c r="F9" s="8" t="inlineStr">
        <is>
          <t>CPI DEVELOPMENT SDN. BHD.</t>
        </is>
      </c>
      <c r="G9" s="10" t="n"/>
      <c r="H9" s="10" t="n">
        <v>166</v>
      </c>
      <c r="I9" s="11">
        <f>H9/$D$9</f>
        <v/>
      </c>
      <c r="J9" s="10">
        <f>K9-H9</f>
        <v/>
      </c>
      <c r="K9" s="10" t="n">
        <v>166</v>
      </c>
      <c r="L9" s="11">
        <f>K9/$D$9</f>
        <v/>
      </c>
      <c r="M9" s="10">
        <f>N9-K9</f>
        <v/>
      </c>
      <c r="N9" s="10" t="n">
        <v>166</v>
      </c>
      <c r="O9" s="11">
        <f>N9/$D$9</f>
        <v/>
      </c>
      <c r="P9" s="10">
        <f>Q9-N9</f>
        <v/>
      </c>
      <c r="Q9" s="10" t="n">
        <v>166</v>
      </c>
      <c r="R9" s="11">
        <f>Q9/$D$9</f>
        <v/>
      </c>
      <c r="S9" s="12">
        <f>T9-Q9</f>
        <v/>
      </c>
      <c r="T9" s="12" t="n">
        <v>166</v>
      </c>
      <c r="U9" s="13">
        <f>T9/$D$9</f>
        <v/>
      </c>
      <c r="V9" s="8" t="inlineStr"/>
    </row>
    <row r="10">
      <c r="A10" s="7" t="n">
        <v>6</v>
      </c>
      <c r="B10" s="8" t="inlineStr">
        <is>
          <t>Residensi Dian II</t>
        </is>
      </c>
      <c r="C10" s="9" t="n">
        <v>44981</v>
      </c>
      <c r="D10" s="10" t="n">
        <v>748</v>
      </c>
      <c r="E10" s="7" t="inlineStr">
        <is>
          <t>30260-1</t>
        </is>
      </c>
      <c r="F10" s="8" t="inlineStr">
        <is>
          <t>CPI GLENMARIE SDN. BHD.</t>
        </is>
      </c>
      <c r="G10" s="10" t="n"/>
      <c r="H10" s="10" t="n">
        <v>748</v>
      </c>
      <c r="I10" s="11">
        <f>H10/$D$10</f>
        <v/>
      </c>
      <c r="J10" s="10">
        <f>K10-H10</f>
        <v/>
      </c>
      <c r="K10" s="10" t="n">
        <v>748</v>
      </c>
      <c r="L10" s="11">
        <f>K10/$D$10</f>
        <v/>
      </c>
      <c r="M10" s="10">
        <f>N10-K10</f>
        <v/>
      </c>
      <c r="N10" s="10" t="n">
        <v>748</v>
      </c>
      <c r="O10" s="11">
        <f>N10/$D$10</f>
        <v/>
      </c>
      <c r="P10" s="10">
        <f>Q10-N10</f>
        <v/>
      </c>
      <c r="Q10" s="10" t="n">
        <v>748</v>
      </c>
      <c r="R10" s="11">
        <f>Q10/$D$10</f>
        <v/>
      </c>
      <c r="S10" s="12">
        <f>T10-Q10</f>
        <v/>
      </c>
      <c r="T10" s="12" t="n">
        <v>748</v>
      </c>
      <c r="U10" s="13">
        <f>T10/$D$10</f>
        <v/>
      </c>
      <c r="V10" s="8" t="inlineStr"/>
    </row>
    <row r="11">
      <c r="A11" s="7" t="n">
        <v>7</v>
      </c>
      <c r="B11" s="8" t="inlineStr">
        <is>
          <t>Selayang Mulia</t>
        </is>
      </c>
      <c r="C11" s="9" t="n"/>
      <c r="D11" s="10" t="n">
        <v>0</v>
      </c>
      <c r="E11" s="7" t="inlineStr"/>
      <c r="F11" s="8" t="inlineStr">
        <is>
          <t>CPI MULIA SDN. BHD.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2" t="n"/>
      <c r="T11" s="12" t="n"/>
      <c r="U11" s="13" t="n"/>
      <c r="V11" s="8" t="inlineStr">
        <is>
          <t>Not launched yet.</t>
        </is>
      </c>
    </row>
    <row r="12">
      <c r="A12" s="7" t="n">
        <v>8</v>
      </c>
      <c r="B12" s="8" t="inlineStr">
        <is>
          <t>Permas</t>
        </is>
      </c>
      <c r="C12" s="9" t="n"/>
      <c r="D12" s="10" t="n">
        <v>0</v>
      </c>
      <c r="E12" s="7" t="inlineStr"/>
      <c r="F12" s="8" t="inlineStr">
        <is>
          <t>CPI PERMAS SDN. BHD.</t>
        </is>
      </c>
      <c r="G12" s="10" t="n"/>
      <c r="H12" s="10" t="n"/>
      <c r="I12" s="11" t="n"/>
      <c r="J12" s="10" t="n"/>
      <c r="K12" s="10" t="n"/>
      <c r="L12" s="11" t="n"/>
      <c r="M12" s="10" t="n"/>
      <c r="N12" s="10" t="n"/>
      <c r="O12" s="11" t="n"/>
      <c r="P12" s="10" t="n"/>
      <c r="Q12" s="10" t="n"/>
      <c r="R12" s="11" t="n"/>
      <c r="S12" s="12" t="n"/>
      <c r="T12" s="12" t="n"/>
      <c r="U12" s="13" t="n"/>
      <c r="V12" s="8" t="inlineStr">
        <is>
          <t>Not launched yet.</t>
        </is>
      </c>
    </row>
    <row r="13">
      <c r="A13" s="7" t="n">
        <v>9</v>
      </c>
      <c r="B13" s="8" t="inlineStr">
        <is>
          <t>Residensi Warisan Salak Selatan</t>
        </is>
      </c>
      <c r="C13" s="9" t="n">
        <v>46191</v>
      </c>
      <c r="D13" s="10" t="n">
        <v>1310</v>
      </c>
      <c r="E13" s="7" t="inlineStr">
        <is>
          <t>31202-1</t>
        </is>
      </c>
      <c r="F13" s="8" t="inlineStr">
        <is>
          <t>EC VANTAGE SDN. BHD.</t>
        </is>
      </c>
      <c r="G13" s="10" t="n"/>
      <c r="H13" s="10" t="n">
        <v>208</v>
      </c>
      <c r="I13" s="11">
        <f>H13/$D$13</f>
        <v/>
      </c>
      <c r="J13" s="10">
        <f>K13-H13</f>
        <v/>
      </c>
      <c r="K13" s="10" t="n">
        <v>214</v>
      </c>
      <c r="L13" s="11">
        <f>K13/$D$13</f>
        <v/>
      </c>
      <c r="M13" s="10">
        <f>N13-K13</f>
        <v/>
      </c>
      <c r="N13" s="10" t="n">
        <v>229</v>
      </c>
      <c r="O13" s="11">
        <f>N13/$D$13</f>
        <v/>
      </c>
      <c r="P13" s="10">
        <f>Q13-N13</f>
        <v/>
      </c>
      <c r="Q13" s="10" t="n">
        <v>245</v>
      </c>
      <c r="R13" s="11">
        <f>Q13/$D$13</f>
        <v/>
      </c>
      <c r="S13" s="12">
        <f>T13-Q13</f>
        <v/>
      </c>
      <c r="T13" s="12" t="n">
        <v>250</v>
      </c>
      <c r="U13" s="13">
        <f>T13/$D$13</f>
        <v/>
      </c>
      <c r="V13" s="8" t="inlineStr">
        <is>
          <t>Latest sales - Block A: 142 units, Block B: 108 units</t>
        </is>
      </c>
    </row>
    <row r="14">
      <c r="A14" s="7" t="n">
        <v>10</v>
      </c>
      <c r="B14" s="8" t="inlineStr">
        <is>
          <t>Residensi Selingsing</t>
        </is>
      </c>
      <c r="C14" s="9" t="n">
        <v>43138</v>
      </c>
      <c r="D14" s="10" t="n">
        <v>577</v>
      </c>
      <c r="E14" s="7" t="inlineStr">
        <is>
          <t>19301-1</t>
        </is>
      </c>
      <c r="F14" s="8" t="inlineStr">
        <is>
          <t>ELITE WORLD SDN. BHD.</t>
        </is>
      </c>
      <c r="G14" s="10" t="n"/>
      <c r="H14" s="10" t="n">
        <v>576</v>
      </c>
      <c r="I14" s="11">
        <f>H14/$D$14</f>
        <v/>
      </c>
      <c r="J14" s="10">
        <f>K14-H14</f>
        <v/>
      </c>
      <c r="K14" s="10" t="n">
        <v>576</v>
      </c>
      <c r="L14" s="11">
        <f>K14/$D$14</f>
        <v/>
      </c>
      <c r="M14" s="10">
        <f>N14-K14</f>
        <v/>
      </c>
      <c r="N14" s="10" t="n">
        <v>576</v>
      </c>
      <c r="O14" s="11">
        <f>N14/$D$14</f>
        <v/>
      </c>
      <c r="P14" s="10">
        <f>Q14-N14</f>
        <v/>
      </c>
      <c r="Q14" s="10" t="n">
        <v>576</v>
      </c>
      <c r="R14" s="11">
        <f>Q14/$D$14</f>
        <v/>
      </c>
      <c r="S14" s="12">
        <f>T14-Q14</f>
        <v/>
      </c>
      <c r="T14" s="12" t="n">
        <v>576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Kerian Links</t>
        </is>
      </c>
      <c r="C15" s="9" t="n">
        <v>43762</v>
      </c>
      <c r="D15" s="10" t="n">
        <v>11</v>
      </c>
      <c r="E15" s="7" t="inlineStr">
        <is>
          <t>19795-1</t>
        </is>
      </c>
      <c r="F15" s="8" t="inlineStr">
        <is>
          <t>KNT MEDIA SDN. BHD.</t>
        </is>
      </c>
      <c r="G15" s="10" t="n"/>
      <c r="H15" s="10" t="n">
        <v>11</v>
      </c>
      <c r="I15" s="11">
        <f>H15/$D$15</f>
        <v/>
      </c>
      <c r="J15" s="10">
        <f>K15-H15</f>
        <v/>
      </c>
      <c r="K15" s="10" t="n">
        <v>11</v>
      </c>
      <c r="L15" s="11">
        <f>K15/$D$15</f>
        <v/>
      </c>
      <c r="M15" s="10">
        <f>N15-K15</f>
        <v/>
      </c>
      <c r="N15" s="10" t="n">
        <v>11</v>
      </c>
      <c r="O15" s="11">
        <f>N15/$D$15</f>
        <v/>
      </c>
      <c r="P15" s="10">
        <f>Q15-N15</f>
        <v/>
      </c>
      <c r="Q15" s="10" t="n">
        <v>11</v>
      </c>
      <c r="R15" s="11">
        <f>Q15/$D$15</f>
        <v/>
      </c>
      <c r="S15" s="12">
        <f>T15-Q15</f>
        <v/>
      </c>
      <c r="T15" s="12" t="n">
        <v>11</v>
      </c>
      <c r="U15" s="13">
        <f>T15/$D$15</f>
        <v/>
      </c>
      <c r="V15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V8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(ECOWORLD)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Eco Botanic - The Chateau II Ph.5</t>
        </is>
      </c>
      <c r="C5" s="9" t="n">
        <v>46102</v>
      </c>
      <c r="D5" s="10" t="n">
        <v>7</v>
      </c>
      <c r="E5" s="7" t="inlineStr">
        <is>
          <t>14020-10</t>
        </is>
      </c>
      <c r="F5" s="8" t="inlineStr">
        <is>
          <t>ECO BOTANIC SDN. BHD.</t>
        </is>
      </c>
      <c r="G5" s="10" t="n"/>
      <c r="H5" s="10" t="n">
        <v>4</v>
      </c>
      <c r="I5" s="11">
        <f>H5/$D$5</f>
        <v/>
      </c>
      <c r="J5" s="10">
        <f>K5-H5</f>
        <v/>
      </c>
      <c r="K5" s="10" t="n">
        <v>4</v>
      </c>
      <c r="L5" s="11">
        <f>K5/$D$5</f>
        <v/>
      </c>
      <c r="M5" s="10">
        <f>N5-K5</f>
        <v/>
      </c>
      <c r="N5" s="10" t="n">
        <v>4</v>
      </c>
      <c r="O5" s="11">
        <f>N5/$D$5</f>
        <v/>
      </c>
      <c r="P5" s="10">
        <f>Q5-N5</f>
        <v/>
      </c>
      <c r="Q5" s="10" t="n">
        <v>4</v>
      </c>
      <c r="R5" s="11">
        <f>Q5/$D$5</f>
        <v/>
      </c>
      <c r="S5" s="12">
        <f>T5-Q5</f>
        <v/>
      </c>
      <c r="T5" s="12" t="n">
        <v>4</v>
      </c>
      <c r="U5" s="13">
        <f>T5/$D$5</f>
        <v/>
      </c>
      <c r="V5" s="8" t="inlineStr"/>
    </row>
    <row r="6">
      <c r="A6" s="7" t="n">
        <v>2</v>
      </c>
      <c r="B6" s="8" t="inlineStr">
        <is>
          <t>Eco Botanic - Presint 2</t>
        </is>
      </c>
      <c r="C6" s="9" t="n">
        <v>46184</v>
      </c>
      <c r="D6" s="10" t="n">
        <v>24</v>
      </c>
      <c r="E6" s="7" t="inlineStr">
        <is>
          <t>14020-11</t>
        </is>
      </c>
      <c r="F6" s="8" t="inlineStr">
        <is>
          <t>ECO BOTANIC SDN. BHD.</t>
        </is>
      </c>
      <c r="G6" s="10" t="n"/>
      <c r="H6" s="10" t="n">
        <v>5</v>
      </c>
      <c r="I6" s="11">
        <f>H6/$D$6</f>
        <v/>
      </c>
      <c r="J6" s="10">
        <f>K6-H6</f>
        <v/>
      </c>
      <c r="K6" s="10" t="n">
        <v>5</v>
      </c>
      <c r="L6" s="11">
        <f>K6/$D$6</f>
        <v/>
      </c>
      <c r="M6" s="10">
        <f>N6-K6</f>
        <v/>
      </c>
      <c r="N6" s="10" t="n">
        <v>5</v>
      </c>
      <c r="O6" s="11">
        <f>N6/$D$6</f>
        <v/>
      </c>
      <c r="P6" s="10">
        <f>Q6-N6</f>
        <v/>
      </c>
      <c r="Q6" s="10" t="n">
        <v>5</v>
      </c>
      <c r="R6" s="11">
        <f>Q6/$D$6</f>
        <v/>
      </c>
      <c r="S6" s="12">
        <f>T6-Q6</f>
        <v/>
      </c>
      <c r="T6" s="12" t="n">
        <v>5</v>
      </c>
      <c r="U6" s="13">
        <f>T6/$D$6</f>
        <v/>
      </c>
      <c r="V6" s="8" t="inlineStr"/>
    </row>
    <row r="7">
      <c r="A7" s="7" t="n">
        <v>3</v>
      </c>
      <c r="B7" s="8" t="inlineStr">
        <is>
          <t>Eco Botanic - Presint 2</t>
        </is>
      </c>
      <c r="C7" s="9" t="n">
        <v>46184</v>
      </c>
      <c r="D7" s="10" t="n">
        <v>24</v>
      </c>
      <c r="E7" s="7" t="inlineStr">
        <is>
          <t>14020-12</t>
        </is>
      </c>
      <c r="F7" s="8" t="inlineStr">
        <is>
          <t>ECO BOTANIC SDN. BHD.</t>
        </is>
      </c>
      <c r="G7" s="10" t="n"/>
      <c r="H7" s="10" t="n">
        <v>3</v>
      </c>
      <c r="I7" s="11">
        <f>H7/$D$7</f>
        <v/>
      </c>
      <c r="J7" s="10">
        <f>K7-H7</f>
        <v/>
      </c>
      <c r="K7" s="10" t="n">
        <v>3</v>
      </c>
      <c r="L7" s="11">
        <f>K7/$D$7</f>
        <v/>
      </c>
      <c r="M7" s="10">
        <f>N7-K7</f>
        <v/>
      </c>
      <c r="N7" s="10" t="n">
        <v>3</v>
      </c>
      <c r="O7" s="11">
        <f>N7/$D$7</f>
        <v/>
      </c>
      <c r="P7" s="10">
        <f>Q7-N7</f>
        <v/>
      </c>
      <c r="Q7" s="10" t="n">
        <v>3</v>
      </c>
      <c r="R7" s="11">
        <f>Q7/$D$7</f>
        <v/>
      </c>
      <c r="S7" s="12">
        <f>T7-Q7</f>
        <v/>
      </c>
      <c r="T7" s="12" t="n">
        <v>3</v>
      </c>
      <c r="U7" s="13">
        <f>T7/$D$7</f>
        <v/>
      </c>
      <c r="V7" s="8" t="inlineStr"/>
    </row>
    <row r="8">
      <c r="A8" s="7" t="n">
        <v>4</v>
      </c>
      <c r="B8" s="8" t="inlineStr">
        <is>
          <t>Eco Botanic - Presint 2</t>
        </is>
      </c>
      <c r="C8" s="9" t="n">
        <v>46184</v>
      </c>
      <c r="D8" s="10" t="n">
        <v>16</v>
      </c>
      <c r="E8" s="7" t="inlineStr">
        <is>
          <t>14020-13</t>
        </is>
      </c>
      <c r="F8" s="8" t="inlineStr">
        <is>
          <t>ECO BOTANIC SDN. BHD.</t>
        </is>
      </c>
      <c r="G8" s="10" t="n"/>
      <c r="H8" s="10" t="n">
        <v>9</v>
      </c>
      <c r="I8" s="11">
        <f>H8/$D$8</f>
        <v/>
      </c>
      <c r="J8" s="10">
        <f>K8-H8</f>
        <v/>
      </c>
      <c r="K8" s="10" t="n">
        <v>9</v>
      </c>
      <c r="L8" s="11">
        <f>K8/$D$8</f>
        <v/>
      </c>
      <c r="M8" s="10">
        <f>N8-K8</f>
        <v/>
      </c>
      <c r="N8" s="10" t="n">
        <v>9</v>
      </c>
      <c r="O8" s="11">
        <f>N8/$D$8</f>
        <v/>
      </c>
      <c r="P8" s="10">
        <f>Q8-N8</f>
        <v/>
      </c>
      <c r="Q8" s="10" t="n">
        <v>9</v>
      </c>
      <c r="R8" s="11">
        <f>Q8/$D$8</f>
        <v/>
      </c>
      <c r="S8" s="12">
        <f>T8-Q8</f>
        <v/>
      </c>
      <c r="T8" s="12" t="n">
        <v>9</v>
      </c>
      <c r="U8" s="13">
        <f>T8/$D$8</f>
        <v/>
      </c>
      <c r="V8" s="8" t="inlineStr"/>
    </row>
    <row r="9">
      <c r="A9" s="7" t="n">
        <v>5</v>
      </c>
      <c r="B9" s="8" t="inlineStr">
        <is>
          <t>Eco Botanic - The Chateau II Ph.6</t>
        </is>
      </c>
      <c r="C9" s="9" t="n">
        <v>46184</v>
      </c>
      <c r="D9" s="10" t="n">
        <v>8</v>
      </c>
      <c r="E9" s="7" t="inlineStr">
        <is>
          <t>14020-14</t>
        </is>
      </c>
      <c r="F9" s="8" t="inlineStr">
        <is>
          <t>ECO BOTANIC SDN. BHD.</t>
        </is>
      </c>
      <c r="G9" s="10" t="n"/>
      <c r="H9" s="10" t="n">
        <v>5</v>
      </c>
      <c r="I9" s="11">
        <f>H9/$D$9</f>
        <v/>
      </c>
      <c r="J9" s="10">
        <f>K9-H9</f>
        <v/>
      </c>
      <c r="K9" s="10" t="n">
        <v>5</v>
      </c>
      <c r="L9" s="11">
        <f>K9/$D$9</f>
        <v/>
      </c>
      <c r="M9" s="10">
        <f>N9-K9</f>
        <v/>
      </c>
      <c r="N9" s="10" t="n">
        <v>5</v>
      </c>
      <c r="O9" s="11">
        <f>N9/$D$9</f>
        <v/>
      </c>
      <c r="P9" s="10">
        <f>Q9-N9</f>
        <v/>
      </c>
      <c r="Q9" s="10" t="n">
        <v>5</v>
      </c>
      <c r="R9" s="11">
        <f>Q9/$D$9</f>
        <v/>
      </c>
      <c r="S9" s="12">
        <f>T9-Q9</f>
        <v/>
      </c>
      <c r="T9" s="12" t="n">
        <v>5</v>
      </c>
      <c r="U9" s="13">
        <f>T9/$D$9</f>
        <v/>
      </c>
      <c r="V9" s="8" t="inlineStr"/>
    </row>
    <row r="10">
      <c r="A10" s="7" t="n">
        <v>6</v>
      </c>
      <c r="B10" s="8" t="inlineStr">
        <is>
          <t>Eco Botanic - Sa.Young D'Eco Botanic</t>
        </is>
      </c>
      <c r="C10" s="9" t="n">
        <v>45184</v>
      </c>
      <c r="D10" s="10" t="n">
        <v>383</v>
      </c>
      <c r="E10" s="7" t="inlineStr">
        <is>
          <t>14020-5</t>
        </is>
      </c>
      <c r="F10" s="8" t="inlineStr">
        <is>
          <t>ECO BOTANIC SDN. BHD.</t>
        </is>
      </c>
      <c r="G10" s="10" t="n"/>
      <c r="H10" s="10" t="n">
        <v>383</v>
      </c>
      <c r="I10" s="11">
        <f>H10/$D$10</f>
        <v/>
      </c>
      <c r="J10" s="10">
        <f>K10-H10</f>
        <v/>
      </c>
      <c r="K10" s="10" t="n">
        <v>383</v>
      </c>
      <c r="L10" s="11">
        <f>K10/$D$10</f>
        <v/>
      </c>
      <c r="M10" s="10">
        <f>N10-K10</f>
        <v/>
      </c>
      <c r="N10" s="10" t="n">
        <v>383</v>
      </c>
      <c r="O10" s="11">
        <f>N10/$D$10</f>
        <v/>
      </c>
      <c r="P10" s="10">
        <f>Q10-N10</f>
        <v/>
      </c>
      <c r="Q10" s="10" t="n">
        <v>383</v>
      </c>
      <c r="R10" s="11">
        <f>Q10/$D$10</f>
        <v/>
      </c>
      <c r="S10" s="12">
        <f>T10-Q10</f>
        <v/>
      </c>
      <c r="T10" s="12" t="n">
        <v>382</v>
      </c>
      <c r="U10" s="13">
        <f>T10/$D$10</f>
        <v/>
      </c>
      <c r="V10" s="8" t="inlineStr"/>
    </row>
    <row r="11">
      <c r="A11" s="7" t="n">
        <v>7</v>
      </c>
      <c r="B11" s="8" t="inlineStr">
        <is>
          <t>Eco Botanic - The Windsor</t>
        </is>
      </c>
      <c r="C11" s="9" t="n">
        <v>45652</v>
      </c>
      <c r="D11" s="10" t="n">
        <v>76</v>
      </c>
      <c r="E11" s="7" t="inlineStr">
        <is>
          <t>14020-6</t>
        </is>
      </c>
      <c r="F11" s="8" t="inlineStr">
        <is>
          <t>ECO BOTANIC SDN. BHD.</t>
        </is>
      </c>
      <c r="G11" s="10" t="n"/>
      <c r="H11" s="10" t="n">
        <v>47</v>
      </c>
      <c r="I11" s="11">
        <f>H11/$D$11</f>
        <v/>
      </c>
      <c r="J11" s="10">
        <f>K11-H11</f>
        <v/>
      </c>
      <c r="K11" s="10" t="n">
        <v>47</v>
      </c>
      <c r="L11" s="11">
        <f>K11/$D$11</f>
        <v/>
      </c>
      <c r="M11" s="10">
        <f>N11-K11</f>
        <v/>
      </c>
      <c r="N11" s="10" t="n">
        <v>47</v>
      </c>
      <c r="O11" s="11">
        <f>N11/$D$11</f>
        <v/>
      </c>
      <c r="P11" s="10">
        <f>Q11-N11</f>
        <v/>
      </c>
      <c r="Q11" s="10" t="n">
        <v>47</v>
      </c>
      <c r="R11" s="11">
        <f>Q11/$D$11</f>
        <v/>
      </c>
      <c r="S11" s="12">
        <f>T11-Q11</f>
        <v/>
      </c>
      <c r="T11" s="12" t="n">
        <v>47</v>
      </c>
      <c r="U11" s="13">
        <f>T11/$D$11</f>
        <v/>
      </c>
      <c r="V11" s="8" t="inlineStr"/>
    </row>
    <row r="12">
      <c r="A12" s="7" t="n">
        <v>8</v>
      </c>
      <c r="B12" s="8" t="inlineStr">
        <is>
          <t>Eco Botanic - Presint 2</t>
        </is>
      </c>
      <c r="C12" s="9" t="n">
        <v>46102</v>
      </c>
      <c r="D12" s="10" t="n">
        <v>24</v>
      </c>
      <c r="E12" s="7" t="inlineStr">
        <is>
          <t>14020-7</t>
        </is>
      </c>
      <c r="F12" s="8" t="inlineStr">
        <is>
          <t>ECO BOTANIC SDN. BHD.</t>
        </is>
      </c>
      <c r="G12" s="10" t="n"/>
      <c r="H12" s="10" t="n">
        <v>9</v>
      </c>
      <c r="I12" s="11">
        <f>H12/$D$12</f>
        <v/>
      </c>
      <c r="J12" s="10">
        <f>K12-H12</f>
        <v/>
      </c>
      <c r="K12" s="10" t="n">
        <v>9</v>
      </c>
      <c r="L12" s="11">
        <f>K12/$D$12</f>
        <v/>
      </c>
      <c r="M12" s="10">
        <f>N12-K12</f>
        <v/>
      </c>
      <c r="N12" s="10" t="n">
        <v>9</v>
      </c>
      <c r="O12" s="11">
        <f>N12/$D$12</f>
        <v/>
      </c>
      <c r="P12" s="10">
        <f>Q12-N12</f>
        <v/>
      </c>
      <c r="Q12" s="10" t="n">
        <v>9</v>
      </c>
      <c r="R12" s="11">
        <f>Q12/$D$12</f>
        <v/>
      </c>
      <c r="S12" s="12">
        <f>T12-Q12</f>
        <v/>
      </c>
      <c r="T12" s="12" t="n">
        <v>9</v>
      </c>
      <c r="U12" s="13">
        <f>T12/$D$12</f>
        <v/>
      </c>
      <c r="V12" s="8" t="inlineStr"/>
    </row>
    <row r="13">
      <c r="A13" s="7" t="n">
        <v>9</v>
      </c>
      <c r="B13" s="8" t="inlineStr">
        <is>
          <t>Eco Botanic - Presint 2</t>
        </is>
      </c>
      <c r="C13" s="9" t="n">
        <v>46102</v>
      </c>
      <c r="D13" s="10" t="n">
        <v>24</v>
      </c>
      <c r="E13" s="7" t="inlineStr">
        <is>
          <t>14020-8</t>
        </is>
      </c>
      <c r="F13" s="8" t="inlineStr">
        <is>
          <t>ECO BOTANIC SDN. BHD.</t>
        </is>
      </c>
      <c r="G13" s="10" t="n"/>
      <c r="H13" s="10" t="n">
        <v>14</v>
      </c>
      <c r="I13" s="11">
        <f>H13/$D$13</f>
        <v/>
      </c>
      <c r="J13" s="10">
        <f>K13-H13</f>
        <v/>
      </c>
      <c r="K13" s="10" t="n">
        <v>15</v>
      </c>
      <c r="L13" s="11">
        <f>K13/$D$13</f>
        <v/>
      </c>
      <c r="M13" s="10">
        <f>N13-K13</f>
        <v/>
      </c>
      <c r="N13" s="10" t="n">
        <v>15</v>
      </c>
      <c r="O13" s="11">
        <f>N13/$D$13</f>
        <v/>
      </c>
      <c r="P13" s="10">
        <f>Q13-N13</f>
        <v/>
      </c>
      <c r="Q13" s="10" t="n">
        <v>15</v>
      </c>
      <c r="R13" s="11">
        <f>Q13/$D$13</f>
        <v/>
      </c>
      <c r="S13" s="12">
        <f>T13-Q13</f>
        <v/>
      </c>
      <c r="T13" s="12" t="n">
        <v>16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Eco Botanic - Presint 2</t>
        </is>
      </c>
      <c r="C14" s="9" t="n">
        <v>46102</v>
      </c>
      <c r="D14" s="10" t="n">
        <v>16</v>
      </c>
      <c r="E14" s="7" t="inlineStr">
        <is>
          <t>14020-9</t>
        </is>
      </c>
      <c r="F14" s="8" t="inlineStr">
        <is>
          <t>ECO BOTANIC SDN. BHD.</t>
        </is>
      </c>
      <c r="G14" s="10" t="n"/>
      <c r="H14" s="10" t="n">
        <v>10</v>
      </c>
      <c r="I14" s="11">
        <f>H14/$D$14</f>
        <v/>
      </c>
      <c r="J14" s="10">
        <f>K14-H14</f>
        <v/>
      </c>
      <c r="K14" s="10" t="n">
        <v>10</v>
      </c>
      <c r="L14" s="11">
        <f>K14/$D$14</f>
        <v/>
      </c>
      <c r="M14" s="10">
        <f>N14-K14</f>
        <v/>
      </c>
      <c r="N14" s="10" t="n">
        <v>10</v>
      </c>
      <c r="O14" s="11">
        <f>N14/$D$14</f>
        <v/>
      </c>
      <c r="P14" s="10">
        <f>Q14-N14</f>
        <v/>
      </c>
      <c r="Q14" s="10" t="n">
        <v>10</v>
      </c>
      <c r="R14" s="11">
        <f>Q14/$D$14</f>
        <v/>
      </c>
      <c r="S14" s="12">
        <f>T14-Q14</f>
        <v/>
      </c>
      <c r="T14" s="12" t="n">
        <v>10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Eco Sanctuary - Se.Ruma</t>
        </is>
      </c>
      <c r="C15" s="9" t="n">
        <v>45673</v>
      </c>
      <c r="D15" s="10" t="n">
        <v>483</v>
      </c>
      <c r="E15" s="7" t="inlineStr">
        <is>
          <t>14050-10</t>
        </is>
      </c>
      <c r="F15" s="8" t="inlineStr">
        <is>
          <t>ECO SANCTUARY SDN. BHD.</t>
        </is>
      </c>
      <c r="G15" s="10" t="n"/>
      <c r="H15" s="10" t="n">
        <v>336</v>
      </c>
      <c r="I15" s="11">
        <f>H15/$D$15</f>
        <v/>
      </c>
      <c r="J15" s="10">
        <f>K15-H15</f>
        <v/>
      </c>
      <c r="K15" s="10" t="n">
        <v>336</v>
      </c>
      <c r="L15" s="11">
        <f>K15/$D$15</f>
        <v/>
      </c>
      <c r="M15" s="10">
        <f>N15-K15</f>
        <v/>
      </c>
      <c r="N15" s="10" t="n">
        <v>336</v>
      </c>
      <c r="O15" s="11">
        <f>N15/$D$15</f>
        <v/>
      </c>
      <c r="P15" s="10">
        <f>Q15-N15</f>
        <v/>
      </c>
      <c r="Q15" s="10" t="n">
        <v>336</v>
      </c>
      <c r="R15" s="11">
        <f>Q15/$D$15</f>
        <v/>
      </c>
      <c r="S15" s="12">
        <f>T15-Q15</f>
        <v/>
      </c>
      <c r="T15" s="12" t="n">
        <v>336</v>
      </c>
      <c r="U15" s="13">
        <f>T15/$D$15</f>
        <v/>
      </c>
      <c r="V15" s="8" t="inlineStr">
        <is>
          <t>Latest sales - Block R3: 336 units</t>
        </is>
      </c>
    </row>
    <row r="16">
      <c r="A16" s="7" t="n">
        <v>12</v>
      </c>
      <c r="B16" s="8" t="inlineStr">
        <is>
          <t>Eco Spring - Ekoflora 4</t>
        </is>
      </c>
      <c r="C16" s="9" t="n">
        <v>45035</v>
      </c>
      <c r="D16" s="10" t="n">
        <v>124</v>
      </c>
      <c r="E16" s="7" t="inlineStr">
        <is>
          <t>14320-14</t>
        </is>
      </c>
      <c r="F16" s="8" t="inlineStr">
        <is>
          <t>ECO SUMMER SDN. BHD.</t>
        </is>
      </c>
      <c r="G16" s="10" t="n"/>
      <c r="H16" s="10" t="n">
        <v>124</v>
      </c>
      <c r="I16" s="11">
        <f>H16/$D$16</f>
        <v/>
      </c>
      <c r="J16" s="10">
        <f>K16-H16</f>
        <v/>
      </c>
      <c r="K16" s="10" t="n">
        <v>124</v>
      </c>
      <c r="L16" s="11">
        <f>K16/$D$16</f>
        <v/>
      </c>
      <c r="M16" s="10">
        <f>N16-K16</f>
        <v/>
      </c>
      <c r="N16" s="10" t="n">
        <v>124</v>
      </c>
      <c r="O16" s="11">
        <f>N16/$D$16</f>
        <v/>
      </c>
      <c r="P16" s="10">
        <f>Q16-N16</f>
        <v/>
      </c>
      <c r="Q16" s="10" t="n">
        <v>124</v>
      </c>
      <c r="R16" s="11">
        <f>Q16/$D$16</f>
        <v/>
      </c>
      <c r="S16" s="12">
        <f>T16-Q16</f>
        <v/>
      </c>
      <c r="T16" s="12" t="n">
        <v>124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Eco Spring - Flora/Santai series</t>
        </is>
      </c>
      <c r="C17" s="9" t="n">
        <v>45331</v>
      </c>
      <c r="D17" s="10" t="n">
        <v>460</v>
      </c>
      <c r="E17" s="7" t="inlineStr">
        <is>
          <t>14320-17</t>
        </is>
      </c>
      <c r="F17" s="8" t="inlineStr">
        <is>
          <t>ECO SUMMER SDN. BHD.</t>
        </is>
      </c>
      <c r="G17" s="10" t="n"/>
      <c r="H17" s="10" t="n">
        <v>460</v>
      </c>
      <c r="I17" s="11">
        <f>H17/$D$17</f>
        <v/>
      </c>
      <c r="J17" s="10">
        <f>K17-H17</f>
        <v/>
      </c>
      <c r="K17" s="10" t="n">
        <v>460</v>
      </c>
      <c r="L17" s="11">
        <f>K17/$D$17</f>
        <v/>
      </c>
      <c r="M17" s="10">
        <f>N17-K17</f>
        <v/>
      </c>
      <c r="N17" s="10" t="n">
        <v>460</v>
      </c>
      <c r="O17" s="11">
        <f>N17/$D$17</f>
        <v/>
      </c>
      <c r="P17" s="10">
        <f>Q17-N17</f>
        <v/>
      </c>
      <c r="Q17" s="10" t="n">
        <v>460</v>
      </c>
      <c r="R17" s="11">
        <f>Q17/$D$17</f>
        <v/>
      </c>
      <c r="S17" s="12">
        <f>T17-Q17</f>
        <v/>
      </c>
      <c r="T17" s="12" t="n">
        <v>460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Eco Spring - Santai</t>
        </is>
      </c>
      <c r="C18" s="9" t="n">
        <v>45331</v>
      </c>
      <c r="D18" s="10" t="n">
        <v>460</v>
      </c>
      <c r="E18" s="7" t="inlineStr">
        <is>
          <t>14320-18</t>
        </is>
      </c>
      <c r="F18" s="8" t="inlineStr">
        <is>
          <t>ECO SUMMER SDN. BHD.</t>
        </is>
      </c>
      <c r="G18" s="10" t="n"/>
      <c r="H18" s="10" t="n">
        <v>460</v>
      </c>
      <c r="I18" s="11">
        <f>H18/$D$18</f>
        <v/>
      </c>
      <c r="J18" s="10">
        <f>K18-H18</f>
        <v/>
      </c>
      <c r="K18" s="10" t="n">
        <v>460</v>
      </c>
      <c r="L18" s="11">
        <f>K18/$D$18</f>
        <v/>
      </c>
      <c r="M18" s="10">
        <f>N18-K18</f>
        <v/>
      </c>
      <c r="N18" s="10" t="n">
        <v>460</v>
      </c>
      <c r="O18" s="11">
        <f>N18/$D$18</f>
        <v/>
      </c>
      <c r="P18" s="10">
        <f>Q18-N18</f>
        <v/>
      </c>
      <c r="Q18" s="10" t="n">
        <v>460</v>
      </c>
      <c r="R18" s="11">
        <f>Q18/$D$18</f>
        <v/>
      </c>
      <c r="S18" s="12">
        <f>T18-Q18</f>
        <v/>
      </c>
      <c r="T18" s="12" t="n">
        <v>460</v>
      </c>
      <c r="U18" s="13">
        <f>T18/$D$18</f>
        <v/>
      </c>
      <c r="V18" s="8" t="inlineStr"/>
    </row>
    <row r="19">
      <c r="A19" s="7" t="n">
        <v>15</v>
      </c>
      <c r="B19" s="8" t="inlineStr">
        <is>
          <t>Eco Spring - Ekoflora 4</t>
        </is>
      </c>
      <c r="C19" s="9" t="n">
        <v>45603</v>
      </c>
      <c r="D19" s="10" t="n">
        <v>132</v>
      </c>
      <c r="E19" s="7" t="inlineStr">
        <is>
          <t>14320-19</t>
        </is>
      </c>
      <c r="F19" s="8" t="inlineStr">
        <is>
          <t>ECO SUMMER SDN. BHD.</t>
        </is>
      </c>
      <c r="G19" s="10" t="n"/>
      <c r="H19" s="10" t="n">
        <v>109</v>
      </c>
      <c r="I19" s="11">
        <f>H19/$D$19</f>
        <v/>
      </c>
      <c r="J19" s="10">
        <f>K19-H19</f>
        <v/>
      </c>
      <c r="K19" s="10" t="n">
        <v>109</v>
      </c>
      <c r="L19" s="11">
        <f>K19/$D$19</f>
        <v/>
      </c>
      <c r="M19" s="10">
        <f>N19-K19</f>
        <v/>
      </c>
      <c r="N19" s="10" t="n">
        <v>109</v>
      </c>
      <c r="O19" s="11">
        <f>N19/$D$19</f>
        <v/>
      </c>
      <c r="P19" s="10">
        <f>Q19-N19</f>
        <v/>
      </c>
      <c r="Q19" s="10" t="n">
        <v>109</v>
      </c>
      <c r="R19" s="11">
        <f>Q19/$D$19</f>
        <v/>
      </c>
      <c r="S19" s="12">
        <f>T19-Q19</f>
        <v/>
      </c>
      <c r="T19" s="12" t="n">
        <v>109</v>
      </c>
      <c r="U19" s="13">
        <f>T19/$D$19</f>
        <v/>
      </c>
      <c r="V19" s="8" t="inlineStr"/>
    </row>
    <row r="20">
      <c r="A20" s="7" t="n">
        <v>16</v>
      </c>
      <c r="B20" s="8" t="inlineStr">
        <is>
          <t>Eco Spring - Ekoflora 4</t>
        </is>
      </c>
      <c r="C20" s="9" t="n">
        <v>45684</v>
      </c>
      <c r="D20" s="10" t="n">
        <v>32</v>
      </c>
      <c r="E20" s="7" t="inlineStr">
        <is>
          <t>14320-20</t>
        </is>
      </c>
      <c r="F20" s="8" t="inlineStr">
        <is>
          <t>ECO SUMMER SDN. BHD.</t>
        </is>
      </c>
      <c r="G20" s="10" t="n"/>
      <c r="H20" s="10" t="n">
        <v>28</v>
      </c>
      <c r="I20" s="11">
        <f>H20/$D$20</f>
        <v/>
      </c>
      <c r="J20" s="10">
        <f>K20-H20</f>
        <v/>
      </c>
      <c r="K20" s="10" t="n">
        <v>28</v>
      </c>
      <c r="L20" s="11">
        <f>K20/$D$20</f>
        <v/>
      </c>
      <c r="M20" s="10">
        <f>N20-K20</f>
        <v/>
      </c>
      <c r="N20" s="10" t="n">
        <v>28</v>
      </c>
      <c r="O20" s="11">
        <f>N20/$D$20</f>
        <v/>
      </c>
      <c r="P20" s="10">
        <f>Q20-N20</f>
        <v/>
      </c>
      <c r="Q20" s="10" t="n">
        <v>28</v>
      </c>
      <c r="R20" s="11">
        <f>Q20/$D$20</f>
        <v/>
      </c>
      <c r="S20" s="12">
        <f>T20-Q20</f>
        <v/>
      </c>
      <c r="T20" s="12" t="n">
        <v>28</v>
      </c>
      <c r="U20" s="13">
        <f>T20/$D$20</f>
        <v/>
      </c>
      <c r="V20" s="8" t="inlineStr"/>
    </row>
    <row r="21">
      <c r="A21" s="7" t="n">
        <v>17</v>
      </c>
      <c r="B21" s="8" t="inlineStr">
        <is>
          <t>Eco Spring - Ekoflora 2</t>
        </is>
      </c>
      <c r="C21" s="9" t="n">
        <v>45736</v>
      </c>
      <c r="D21" s="10" t="n">
        <v>28</v>
      </c>
      <c r="E21" s="7" t="inlineStr">
        <is>
          <t>14320-21</t>
        </is>
      </c>
      <c r="F21" s="8" t="inlineStr">
        <is>
          <t>ECO SUMMER SDN. BHD.</t>
        </is>
      </c>
      <c r="G21" s="10" t="n"/>
      <c r="H21" s="10" t="n">
        <v>14</v>
      </c>
      <c r="I21" s="11">
        <f>H21/$D$21</f>
        <v/>
      </c>
      <c r="J21" s="10">
        <f>K21-H21</f>
        <v/>
      </c>
      <c r="K21" s="10" t="n">
        <v>15</v>
      </c>
      <c r="L21" s="11">
        <f>K21/$D$21</f>
        <v/>
      </c>
      <c r="M21" s="10">
        <f>N21-K21</f>
        <v/>
      </c>
      <c r="N21" s="10" t="n">
        <v>15</v>
      </c>
      <c r="O21" s="11">
        <f>N21/$D$21</f>
        <v/>
      </c>
      <c r="P21" s="10">
        <f>Q21-N21</f>
        <v/>
      </c>
      <c r="Q21" s="10" t="n">
        <v>15</v>
      </c>
      <c r="R21" s="11">
        <f>Q21/$D$21</f>
        <v/>
      </c>
      <c r="S21" s="12">
        <f>T21-Q21</f>
        <v/>
      </c>
      <c r="T21" s="12" t="n">
        <v>15</v>
      </c>
      <c r="U21" s="13">
        <f>T21/$D$21</f>
        <v/>
      </c>
      <c r="V21" s="8" t="inlineStr"/>
    </row>
    <row r="22">
      <c r="A22" s="7" t="n">
        <v>18</v>
      </c>
      <c r="B22" s="8" t="inlineStr">
        <is>
          <t>Eco Spring - Ekoflora 2</t>
        </is>
      </c>
      <c r="C22" s="9" t="n">
        <v>45742</v>
      </c>
      <c r="D22" s="10" t="n">
        <v>24</v>
      </c>
      <c r="E22" s="7" t="inlineStr">
        <is>
          <t>14320-22</t>
        </is>
      </c>
      <c r="F22" s="8" t="inlineStr">
        <is>
          <t>ECO SUMMER SDN. BHD.</t>
        </is>
      </c>
      <c r="G22" s="10" t="n"/>
      <c r="H22" s="10" t="n">
        <v>11</v>
      </c>
      <c r="I22" s="11">
        <f>H22/$D$22</f>
        <v/>
      </c>
      <c r="J22" s="10">
        <f>K22-H22</f>
        <v/>
      </c>
      <c r="K22" s="10" t="n">
        <v>12</v>
      </c>
      <c r="L22" s="11">
        <f>K22/$D$22</f>
        <v/>
      </c>
      <c r="M22" s="10">
        <f>N22-K22</f>
        <v/>
      </c>
      <c r="N22" s="10" t="n">
        <v>12</v>
      </c>
      <c r="O22" s="11">
        <f>N22/$D$22</f>
        <v/>
      </c>
      <c r="P22" s="10">
        <f>Q22-N22</f>
        <v/>
      </c>
      <c r="Q22" s="10" t="n">
        <v>13</v>
      </c>
      <c r="R22" s="11">
        <f>Q22/$D$22</f>
        <v/>
      </c>
      <c r="S22" s="12">
        <f>T22-Q22</f>
        <v/>
      </c>
      <c r="T22" s="12" t="n">
        <v>13</v>
      </c>
      <c r="U22" s="13">
        <f>T22/$D$22</f>
        <v/>
      </c>
      <c r="V22" s="8" t="inlineStr"/>
    </row>
    <row r="23">
      <c r="A23" s="7" t="n">
        <v>19</v>
      </c>
      <c r="B23" s="8" t="inlineStr">
        <is>
          <t>Eco Spring - Santai 3</t>
        </is>
      </c>
      <c r="C23" s="9" t="n">
        <v>45952</v>
      </c>
      <c r="D23" s="10" t="n">
        <v>627</v>
      </c>
      <c r="E23" s="7" t="inlineStr">
        <is>
          <t>14320-23</t>
        </is>
      </c>
      <c r="F23" s="8" t="inlineStr">
        <is>
          <t>ECO SUMMER SDN. BHD.</t>
        </is>
      </c>
      <c r="G23" s="10" t="n"/>
      <c r="H23" s="10" t="n">
        <v>260</v>
      </c>
      <c r="I23" s="11">
        <f>H23/$D$23</f>
        <v/>
      </c>
      <c r="J23" s="10">
        <f>K23-H23</f>
        <v/>
      </c>
      <c r="K23" s="10" t="n">
        <v>262</v>
      </c>
      <c r="L23" s="11">
        <f>K23/$D$23</f>
        <v/>
      </c>
      <c r="M23" s="10">
        <f>N23-K23</f>
        <v/>
      </c>
      <c r="N23" s="10" t="n">
        <v>268</v>
      </c>
      <c r="O23" s="11">
        <f>N23/$D$23</f>
        <v/>
      </c>
      <c r="P23" s="10">
        <f>Q23-N23</f>
        <v/>
      </c>
      <c r="Q23" s="10" t="n">
        <v>271</v>
      </c>
      <c r="R23" s="11">
        <f>Q23/$D$23</f>
        <v/>
      </c>
      <c r="S23" s="12">
        <f>T23-Q23</f>
        <v/>
      </c>
      <c r="T23" s="12" t="n">
        <v>277</v>
      </c>
      <c r="U23" s="13">
        <f>T23/$D$23</f>
        <v/>
      </c>
      <c r="V23" s="8" t="inlineStr"/>
    </row>
    <row r="24">
      <c r="A24" s="7" t="n">
        <v>20</v>
      </c>
      <c r="B24" s="8" t="inlineStr">
        <is>
          <t>Eco Spring - Ekoflora 2</t>
        </is>
      </c>
      <c r="C24" s="9" t="n">
        <v>46235</v>
      </c>
      <c r="D24" s="10" t="n">
        <v>30</v>
      </c>
      <c r="E24" s="7" t="inlineStr">
        <is>
          <t>14320-24</t>
        </is>
      </c>
      <c r="F24" s="8" t="inlineStr">
        <is>
          <t>ECO SUMMER SDN. BHD.</t>
        </is>
      </c>
      <c r="G24" s="10" t="n"/>
      <c r="H24" s="10" t="n">
        <v>0</v>
      </c>
      <c r="I24" s="11">
        <f>H24/$D$24</f>
        <v/>
      </c>
      <c r="J24" s="10">
        <f>K24-H24</f>
        <v/>
      </c>
      <c r="K24" s="10" t="n">
        <v>0</v>
      </c>
      <c r="L24" s="11">
        <f>K24/$D$24</f>
        <v/>
      </c>
      <c r="M24" s="10">
        <f>N24-K24</f>
        <v/>
      </c>
      <c r="N24" s="10" t="n">
        <v>0</v>
      </c>
      <c r="O24" s="11">
        <f>N24/$D$24</f>
        <v/>
      </c>
      <c r="P24" s="10">
        <f>Q24-N24</f>
        <v/>
      </c>
      <c r="Q24" s="10" t="n">
        <v>0</v>
      </c>
      <c r="R24" s="11">
        <f>Q24/$D$24</f>
        <v/>
      </c>
      <c r="S24" s="12">
        <f>T24-Q24</f>
        <v/>
      </c>
      <c r="T24" s="12" t="n">
        <v>0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Eco Spring - Ekoflora 2</t>
        </is>
      </c>
      <c r="C25" s="9" t="n">
        <v>46239</v>
      </c>
      <c r="D25" s="10" t="n">
        <v>42</v>
      </c>
      <c r="E25" s="7" t="inlineStr">
        <is>
          <t>14320-25</t>
        </is>
      </c>
      <c r="F25" s="8" t="inlineStr">
        <is>
          <t>ECO SUMMER SDN. BHD.</t>
        </is>
      </c>
      <c r="G25" s="10" t="n"/>
      <c r="H25" s="10" t="n">
        <v>0</v>
      </c>
      <c r="I25" s="11">
        <f>H25/$D$25</f>
        <v/>
      </c>
      <c r="J25" s="10">
        <f>K25-H25</f>
        <v/>
      </c>
      <c r="K25" s="10" t="n">
        <v>0</v>
      </c>
      <c r="L25" s="11">
        <f>K25/$D$25</f>
        <v/>
      </c>
      <c r="M25" s="10">
        <f>N25-K25</f>
        <v/>
      </c>
      <c r="N25" s="10" t="n">
        <v>0</v>
      </c>
      <c r="O25" s="11">
        <f>N25/$D$25</f>
        <v/>
      </c>
      <c r="P25" s="10">
        <f>Q25-N25</f>
        <v/>
      </c>
      <c r="Q25" s="10" t="n">
        <v>0</v>
      </c>
      <c r="R25" s="11">
        <f>Q25/$D$25</f>
        <v/>
      </c>
      <c r="S25" s="12">
        <f>T25-Q25</f>
        <v/>
      </c>
      <c r="T25" s="12" t="n">
        <v>0</v>
      </c>
      <c r="U25" s="13">
        <f>T25/$D$25</f>
        <v/>
      </c>
      <c r="V25" s="8" t="inlineStr"/>
    </row>
    <row r="26">
      <c r="A26" s="7" t="n">
        <v>22</v>
      </c>
      <c r="B26" s="8" t="inlineStr">
        <is>
          <t>Eco Ardence - Hana</t>
        </is>
      </c>
      <c r="C26" s="9" t="n">
        <v>44877</v>
      </c>
      <c r="D26" s="10" t="n">
        <v>500</v>
      </c>
      <c r="E26" s="7" t="inlineStr">
        <is>
          <t>14504-7</t>
        </is>
      </c>
      <c r="F26" s="8" t="inlineStr">
        <is>
          <t>ECO ARDENCE SDN. BHD.</t>
        </is>
      </c>
      <c r="G26" s="10" t="n"/>
      <c r="H26" s="10" t="n">
        <v>500</v>
      </c>
      <c r="I26" s="11">
        <f>H26/$D$26</f>
        <v/>
      </c>
      <c r="J26" s="10">
        <f>K26-H26</f>
        <v/>
      </c>
      <c r="K26" s="10" t="n">
        <v>500</v>
      </c>
      <c r="L26" s="11">
        <f>K26/$D$26</f>
        <v/>
      </c>
      <c r="M26" s="10">
        <f>N26-K26</f>
        <v/>
      </c>
      <c r="N26" s="10" t="n">
        <v>500</v>
      </c>
      <c r="O26" s="11">
        <f>N26/$D$26</f>
        <v/>
      </c>
      <c r="P26" s="10">
        <f>Q26-N26</f>
        <v/>
      </c>
      <c r="Q26" s="10" t="n">
        <v>500</v>
      </c>
      <c r="R26" s="11">
        <f>Q26/$D$26</f>
        <v/>
      </c>
      <c r="S26" s="12">
        <f>T26-Q26</f>
        <v/>
      </c>
      <c r="T26" s="12" t="n">
        <v>500</v>
      </c>
      <c r="U26" s="13">
        <f>T26/$D$26</f>
        <v/>
      </c>
      <c r="V26" s="8" t="inlineStr">
        <is>
          <t>Latest sales - Block H1: 500 units</t>
        </is>
      </c>
    </row>
    <row r="27">
      <c r="A27" s="7" t="n">
        <v>23</v>
      </c>
      <c r="B27" s="8" t="inlineStr">
        <is>
          <t>Eco Ardence - Maya</t>
        </is>
      </c>
      <c r="C27" s="9" t="n">
        <v>45806</v>
      </c>
      <c r="D27" s="10" t="n">
        <v>995</v>
      </c>
      <c r="E27" s="7" t="inlineStr">
        <is>
          <t>14504-8</t>
        </is>
      </c>
      <c r="F27" s="8" t="inlineStr">
        <is>
          <t>ECO ARDENCE SDN. BHD.</t>
        </is>
      </c>
      <c r="G27" s="10" t="n"/>
      <c r="H27" s="10" t="n">
        <v>269</v>
      </c>
      <c r="I27" s="11">
        <f>H27/$D$27</f>
        <v/>
      </c>
      <c r="J27" s="10">
        <f>K27-H27</f>
        <v/>
      </c>
      <c r="K27" s="10" t="n">
        <v>271</v>
      </c>
      <c r="L27" s="11">
        <f>K27/$D$27</f>
        <v/>
      </c>
      <c r="M27" s="10">
        <f>N27-K27</f>
        <v/>
      </c>
      <c r="N27" s="10" t="n">
        <v>274</v>
      </c>
      <c r="O27" s="11">
        <f>N27/$D$27</f>
        <v/>
      </c>
      <c r="P27" s="10">
        <f>Q27-N27</f>
        <v/>
      </c>
      <c r="Q27" s="10" t="n">
        <v>275</v>
      </c>
      <c r="R27" s="11">
        <f>Q27/$D$27</f>
        <v/>
      </c>
      <c r="S27" s="12">
        <f>T27-Q27</f>
        <v/>
      </c>
      <c r="T27" s="12" t="n">
        <v>278</v>
      </c>
      <c r="U27" s="13">
        <f>T27/$D$27</f>
        <v/>
      </c>
      <c r="V27" s="8" t="inlineStr">
        <is>
          <t>Latest sales - Block M4: 87 units, Block M5: 191 units</t>
        </is>
      </c>
    </row>
    <row r="28">
      <c r="A28" s="7" t="n">
        <v>24</v>
      </c>
      <c r="B28" s="8" t="inlineStr">
        <is>
          <t>Eco Grandeur - Wellington Garden</t>
        </is>
      </c>
      <c r="C28" s="9" t="n">
        <v>44839</v>
      </c>
      <c r="D28" s="10" t="n">
        <v>605</v>
      </c>
      <c r="E28" s="7" t="inlineStr">
        <is>
          <t>14505-7</t>
        </is>
      </c>
      <c r="F28" s="8" t="inlineStr">
        <is>
          <t>PARAGON PINNACLE SDN. BHD.</t>
        </is>
      </c>
      <c r="G28" s="10" t="n"/>
      <c r="H28" s="10" t="n">
        <v>411</v>
      </c>
      <c r="I28" s="11">
        <f>H28/$D$28</f>
        <v/>
      </c>
      <c r="J28" s="10">
        <f>K28-H28</f>
        <v/>
      </c>
      <c r="K28" s="10" t="n">
        <v>412</v>
      </c>
      <c r="L28" s="11">
        <f>K28/$D$28</f>
        <v/>
      </c>
      <c r="M28" s="10">
        <f>N28-K28</f>
        <v/>
      </c>
      <c r="N28" s="10" t="n">
        <v>416</v>
      </c>
      <c r="O28" s="11">
        <f>N28/$D$28</f>
        <v/>
      </c>
      <c r="P28" s="10">
        <f>Q28-N28</f>
        <v/>
      </c>
      <c r="Q28" s="10" t="n">
        <v>421</v>
      </c>
      <c r="R28" s="11">
        <f>Q28/$D$28</f>
        <v/>
      </c>
      <c r="S28" s="12">
        <f>T28-Q28</f>
        <v/>
      </c>
      <c r="T28" s="12" t="n">
        <v>424</v>
      </c>
      <c r="U28" s="13">
        <f>T28/$D$28</f>
        <v/>
      </c>
      <c r="V28" s="8" t="inlineStr"/>
    </row>
    <row r="29">
      <c r="A29" s="7" t="n">
        <v>25</v>
      </c>
      <c r="B29" s="8" t="inlineStr">
        <is>
          <t>Eco Majestic - Riang D'Eco Majestic</t>
        </is>
      </c>
      <c r="C29" s="9" t="n">
        <v>45433</v>
      </c>
      <c r="D29" s="10" t="n">
        <v>999</v>
      </c>
      <c r="E29" s="7" t="inlineStr">
        <is>
          <t>19150-15</t>
        </is>
      </c>
      <c r="F29" s="8" t="inlineStr">
        <is>
          <t>ECO MAJESTIC DEVELOPMENT SDN. BHD.</t>
        </is>
      </c>
      <c r="G29" s="10" t="n"/>
      <c r="H29" s="10" t="n">
        <v>619</v>
      </c>
      <c r="I29" s="11">
        <f>H29/$D$29</f>
        <v/>
      </c>
      <c r="J29" s="10">
        <f>K29-H29</f>
        <v/>
      </c>
      <c r="K29" s="10" t="n">
        <v>624</v>
      </c>
      <c r="L29" s="11">
        <f>K29/$D$29</f>
        <v/>
      </c>
      <c r="M29" s="10">
        <f>N29-K29</f>
        <v/>
      </c>
      <c r="N29" s="10" t="n">
        <v>628</v>
      </c>
      <c r="O29" s="11">
        <f>N29/$D$29</f>
        <v/>
      </c>
      <c r="P29" s="10">
        <f>Q29-N29</f>
        <v/>
      </c>
      <c r="Q29" s="10" t="n">
        <v>631</v>
      </c>
      <c r="R29" s="11">
        <f>Q29/$D$29</f>
        <v/>
      </c>
      <c r="S29" s="12">
        <f>T29-Q29</f>
        <v/>
      </c>
      <c r="T29" s="12" t="n">
        <v>633</v>
      </c>
      <c r="U29" s="13">
        <f>T29/$D$29</f>
        <v/>
      </c>
      <c r="V29" s="8" t="inlineStr">
        <is>
          <t>Latest sales - Block A: 395 units, Block B: 238 units</t>
        </is>
      </c>
    </row>
    <row r="30">
      <c r="A30" s="7" t="n">
        <v>26</v>
      </c>
      <c r="B30" s="8" t="inlineStr">
        <is>
          <t>Eco Majestic - Noblegate</t>
        </is>
      </c>
      <c r="C30" s="9" t="n">
        <v>45617</v>
      </c>
      <c r="D30" s="10" t="n">
        <v>266</v>
      </c>
      <c r="E30" s="7" t="inlineStr">
        <is>
          <t>19150-16</t>
        </is>
      </c>
      <c r="F30" s="8" t="inlineStr">
        <is>
          <t>ECO MAJESTIC DEVELOPMENT SDN. BHD.</t>
        </is>
      </c>
      <c r="G30" s="10" t="n"/>
      <c r="H30" s="10" t="n">
        <v>148</v>
      </c>
      <c r="I30" s="11">
        <f>H30/$D$30</f>
        <v/>
      </c>
      <c r="J30" s="10">
        <f>K30-H30</f>
        <v/>
      </c>
      <c r="K30" s="10" t="n">
        <v>152</v>
      </c>
      <c r="L30" s="11">
        <f>K30/$D$30</f>
        <v/>
      </c>
      <c r="M30" s="10">
        <f>N30-K30</f>
        <v/>
      </c>
      <c r="N30" s="10" t="n">
        <v>152</v>
      </c>
      <c r="O30" s="11">
        <f>N30/$D$30</f>
        <v/>
      </c>
      <c r="P30" s="10">
        <f>Q30-N30</f>
        <v/>
      </c>
      <c r="Q30" s="10" t="n">
        <v>155</v>
      </c>
      <c r="R30" s="11">
        <f>Q30/$D$30</f>
        <v/>
      </c>
      <c r="S30" s="12">
        <f>T30-Q30</f>
        <v/>
      </c>
      <c r="T30" s="12" t="n">
        <v>155</v>
      </c>
      <c r="U30" s="13">
        <f>T30/$D$30</f>
        <v/>
      </c>
      <c r="V30" s="8" t="inlineStr"/>
    </row>
    <row r="31">
      <c r="A31" s="7" t="n">
        <v>27</v>
      </c>
      <c r="B31" s="8" t="inlineStr">
        <is>
          <t>Eco Forest - BirchPark North Garden (Artisan+Alfresco+Co-Home)</t>
        </is>
      </c>
      <c r="C31" s="9" t="n">
        <v>45716</v>
      </c>
      <c r="D31" s="10" t="n">
        <v>184</v>
      </c>
      <c r="E31" s="7" t="inlineStr">
        <is>
          <t>19150-17</t>
        </is>
      </c>
      <c r="F31" s="8" t="inlineStr">
        <is>
          <t>ECO MAJESTIC DEVELOPMENT SDN. BHD.</t>
        </is>
      </c>
      <c r="G31" s="10" t="n"/>
      <c r="H31" s="10" t="n">
        <v>155</v>
      </c>
      <c r="I31" s="11">
        <f>H31/$D$31</f>
        <v/>
      </c>
      <c r="J31" s="10">
        <f>K31-H31</f>
        <v/>
      </c>
      <c r="K31" s="10" t="n">
        <v>155</v>
      </c>
      <c r="L31" s="11">
        <f>K31/$D$31</f>
        <v/>
      </c>
      <c r="M31" s="10">
        <f>N31-K31</f>
        <v/>
      </c>
      <c r="N31" s="10" t="n">
        <v>156</v>
      </c>
      <c r="O31" s="11">
        <f>N31/$D$31</f>
        <v/>
      </c>
      <c r="P31" s="10">
        <f>Q31-N31</f>
        <v/>
      </c>
      <c r="Q31" s="10" t="n">
        <v>156</v>
      </c>
      <c r="R31" s="11">
        <f>Q31/$D$31</f>
        <v/>
      </c>
      <c r="S31" s="12">
        <f>T31-Q31</f>
        <v/>
      </c>
      <c r="T31" s="12" t="n">
        <v>156</v>
      </c>
      <c r="U31" s="13">
        <f>T31/$D$31</f>
        <v/>
      </c>
      <c r="V31" s="8" t="inlineStr"/>
    </row>
    <row r="32">
      <c r="A32" s="7" t="n">
        <v>28</v>
      </c>
      <c r="B32" s="8" t="inlineStr">
        <is>
          <t>Eco Forest - BirchPark North Garden (Garden Homes)</t>
        </is>
      </c>
      <c r="C32" s="9" t="n">
        <v>45727</v>
      </c>
      <c r="D32" s="10" t="n">
        <v>128</v>
      </c>
      <c r="E32" s="7" t="inlineStr">
        <is>
          <t>19150-18</t>
        </is>
      </c>
      <c r="F32" s="8" t="inlineStr">
        <is>
          <t>ECO MAJESTIC DEVELOPMENT SDN. BHD.</t>
        </is>
      </c>
      <c r="G32" s="10" t="n"/>
      <c r="H32" s="10" t="n">
        <v>108</v>
      </c>
      <c r="I32" s="11">
        <f>H32/$D$32</f>
        <v/>
      </c>
      <c r="J32" s="10">
        <f>K32-H32</f>
        <v/>
      </c>
      <c r="K32" s="10" t="n">
        <v>108</v>
      </c>
      <c r="L32" s="11">
        <f>K32/$D$32</f>
        <v/>
      </c>
      <c r="M32" s="10">
        <f>N32-K32</f>
        <v/>
      </c>
      <c r="N32" s="10" t="n">
        <v>108</v>
      </c>
      <c r="O32" s="11">
        <f>N32/$D$32</f>
        <v/>
      </c>
      <c r="P32" s="10">
        <f>Q32-N32</f>
        <v/>
      </c>
      <c r="Q32" s="10" t="n">
        <v>108</v>
      </c>
      <c r="R32" s="11">
        <f>Q32/$D$32</f>
        <v/>
      </c>
      <c r="S32" s="12">
        <f>T32-Q32</f>
        <v/>
      </c>
      <c r="T32" s="12" t="n">
        <v>108</v>
      </c>
      <c r="U32" s="13">
        <f>T32/$D$32</f>
        <v/>
      </c>
      <c r="V32" s="8" t="inlineStr"/>
    </row>
    <row r="33">
      <c r="A33" s="7" t="n">
        <v>29</v>
      </c>
      <c r="B33" s="8" t="inlineStr">
        <is>
          <t>Eco Horizon - Dawson</t>
        </is>
      </c>
      <c r="C33" s="9" t="n">
        <v>45590</v>
      </c>
      <c r="D33" s="10" t="n">
        <v>262</v>
      </c>
      <c r="E33" s="7" t="inlineStr">
        <is>
          <t>19152-12</t>
        </is>
      </c>
      <c r="F33" s="8" t="inlineStr">
        <is>
          <t>ECO HORIZON SDN. BHD.</t>
        </is>
      </c>
      <c r="G33" s="10" t="n"/>
      <c r="H33" s="10" t="n">
        <v>178</v>
      </c>
      <c r="I33" s="11">
        <f>H33/$D$33</f>
        <v/>
      </c>
      <c r="J33" s="10">
        <f>K33-H33</f>
        <v/>
      </c>
      <c r="K33" s="10" t="n">
        <v>179</v>
      </c>
      <c r="L33" s="11">
        <f>K33/$D$33</f>
        <v/>
      </c>
      <c r="M33" s="10">
        <f>N33-K33</f>
        <v/>
      </c>
      <c r="N33" s="10" t="n">
        <v>179</v>
      </c>
      <c r="O33" s="11">
        <f>N33/$D$33</f>
        <v/>
      </c>
      <c r="P33" s="10">
        <f>Q33-N33</f>
        <v/>
      </c>
      <c r="Q33" s="10" t="n">
        <v>179</v>
      </c>
      <c r="R33" s="11">
        <f>Q33/$D$33</f>
        <v/>
      </c>
      <c r="S33" s="12">
        <f>T33-Q33</f>
        <v/>
      </c>
      <c r="T33" s="12" t="n">
        <v>180</v>
      </c>
      <c r="U33" s="13">
        <f>T33/$D$33</f>
        <v/>
      </c>
      <c r="V33" s="8" t="inlineStr"/>
    </row>
    <row r="34">
      <c r="A34" s="7" t="n">
        <v>30</v>
      </c>
      <c r="B34" s="8" t="inlineStr">
        <is>
          <t>Eco Sun - Everine Ph.2</t>
        </is>
      </c>
      <c r="C34" s="9" t="n">
        <v>45908</v>
      </c>
      <c r="D34" s="10" t="n">
        <v>264</v>
      </c>
      <c r="E34" s="7" t="inlineStr">
        <is>
          <t>19152-13</t>
        </is>
      </c>
      <c r="F34" s="8" t="inlineStr">
        <is>
          <t>ECO HORIZON SDN. BHD.</t>
        </is>
      </c>
      <c r="G34" s="10" t="n"/>
      <c r="H34" s="10" t="n">
        <v>261</v>
      </c>
      <c r="I34" s="11">
        <f>H34/$D$34</f>
        <v/>
      </c>
      <c r="J34" s="10">
        <f>K34-H34</f>
        <v/>
      </c>
      <c r="K34" s="10" t="n">
        <v>261</v>
      </c>
      <c r="L34" s="11">
        <f>K34/$D$34</f>
        <v/>
      </c>
      <c r="M34" s="10">
        <f>N34-K34</f>
        <v/>
      </c>
      <c r="N34" s="10" t="n">
        <v>260</v>
      </c>
      <c r="O34" s="11">
        <f>N34/$D$34</f>
        <v/>
      </c>
      <c r="P34" s="10">
        <f>Q34-N34</f>
        <v/>
      </c>
      <c r="Q34" s="10" t="n">
        <v>260</v>
      </c>
      <c r="R34" s="11">
        <f>Q34/$D$34</f>
        <v/>
      </c>
      <c r="S34" s="12">
        <f>T34-Q34</f>
        <v/>
      </c>
      <c r="T34" s="12" t="n">
        <v>260</v>
      </c>
      <c r="U34" s="13">
        <f>T34/$D$34</f>
        <v/>
      </c>
      <c r="V34" s="8" t="inlineStr"/>
    </row>
    <row r="35">
      <c r="A35" s="7" t="n">
        <v>31</v>
      </c>
      <c r="B35" s="8" t="inlineStr">
        <is>
          <t>Eco Sun - Everine Ph.3</t>
        </is>
      </c>
      <c r="C35" s="9" t="n">
        <v>45981</v>
      </c>
      <c r="D35" s="10" t="n">
        <v>264</v>
      </c>
      <c r="E35" s="7" t="inlineStr">
        <is>
          <t>19152-14</t>
        </is>
      </c>
      <c r="F35" s="8" t="inlineStr">
        <is>
          <t>ECO HORIZON SDN. BHD.</t>
        </is>
      </c>
      <c r="G35" s="10" t="n"/>
      <c r="H35" s="10" t="n">
        <v>55</v>
      </c>
      <c r="I35" s="11">
        <f>H35/$D$35</f>
        <v/>
      </c>
      <c r="J35" s="10">
        <f>K35-H35</f>
        <v/>
      </c>
      <c r="K35" s="10" t="n">
        <v>60</v>
      </c>
      <c r="L35" s="11">
        <f>K35/$D$35</f>
        <v/>
      </c>
      <c r="M35" s="10">
        <f>N35-K35</f>
        <v/>
      </c>
      <c r="N35" s="10" t="n">
        <v>61</v>
      </c>
      <c r="O35" s="11">
        <f>N35/$D$35</f>
        <v/>
      </c>
      <c r="P35" s="10">
        <f>Q35-N35</f>
        <v/>
      </c>
      <c r="Q35" s="10" t="n">
        <v>61</v>
      </c>
      <c r="R35" s="11">
        <f>Q35/$D$35</f>
        <v/>
      </c>
      <c r="S35" s="12">
        <f>T35-Q35</f>
        <v/>
      </c>
      <c r="T35" s="12" t="n">
        <v>62</v>
      </c>
      <c r="U35" s="13">
        <f>T35/$D$35</f>
        <v/>
      </c>
      <c r="V35" s="8" t="inlineStr"/>
    </row>
    <row r="36">
      <c r="A36" s="7" t="n">
        <v>32</v>
      </c>
      <c r="B36" s="8" t="inlineStr">
        <is>
          <t>Eco Sun - Duduk Irama</t>
        </is>
      </c>
      <c r="C36" s="9" t="n">
        <v>46145</v>
      </c>
      <c r="D36" s="10" t="n">
        <v>500</v>
      </c>
      <c r="E36" s="7" t="inlineStr">
        <is>
          <t>19152-15</t>
        </is>
      </c>
      <c r="F36" s="8" t="inlineStr">
        <is>
          <t>ECO HORIZON SDN. BHD.</t>
        </is>
      </c>
      <c r="G36" s="10" t="n"/>
      <c r="H36" s="10" t="n">
        <v>167</v>
      </c>
      <c r="I36" s="11">
        <f>H36/$D$36</f>
        <v/>
      </c>
      <c r="J36" s="10">
        <f>K36-H36</f>
        <v/>
      </c>
      <c r="K36" s="10" t="n">
        <v>168</v>
      </c>
      <c r="L36" s="11">
        <f>K36/$D$36</f>
        <v/>
      </c>
      <c r="M36" s="10">
        <f>N36-K36</f>
        <v/>
      </c>
      <c r="N36" s="10" t="n">
        <v>169</v>
      </c>
      <c r="O36" s="11">
        <f>N36/$D$36</f>
        <v/>
      </c>
      <c r="P36" s="10">
        <f>Q36-N36</f>
        <v/>
      </c>
      <c r="Q36" s="10" t="n">
        <v>170</v>
      </c>
      <c r="R36" s="11">
        <f>Q36/$D$36</f>
        <v/>
      </c>
      <c r="S36" s="12">
        <f>T36-Q36</f>
        <v/>
      </c>
      <c r="T36" s="12" t="n">
        <v>171</v>
      </c>
      <c r="U36" s="13">
        <f>T36/$D$36</f>
        <v/>
      </c>
      <c r="V36" s="8" t="inlineStr">
        <is>
          <t>Latest sales - Block IR: 171 units</t>
        </is>
      </c>
    </row>
    <row r="37">
      <c r="A37" s="7" t="n">
        <v>33</v>
      </c>
      <c r="B37" s="8" t="inlineStr">
        <is>
          <t>Eco Horizon - Beldon Ph.10</t>
        </is>
      </c>
      <c r="C37" s="9" t="n">
        <v>45007</v>
      </c>
      <c r="D37" s="10" t="n">
        <v>112</v>
      </c>
      <c r="E37" s="7" t="inlineStr">
        <is>
          <t>19152-9</t>
        </is>
      </c>
      <c r="F37" s="8" t="inlineStr">
        <is>
          <t>ECO HORIZON SDN. BHD.</t>
        </is>
      </c>
      <c r="G37" s="10" t="n"/>
      <c r="H37" s="10" t="n">
        <v>48</v>
      </c>
      <c r="I37" s="11">
        <f>H37/$D$37</f>
        <v/>
      </c>
      <c r="J37" s="10">
        <f>K37-H37</f>
        <v/>
      </c>
      <c r="K37" s="10" t="n">
        <v>48</v>
      </c>
      <c r="L37" s="11">
        <f>K37/$D$37</f>
        <v/>
      </c>
      <c r="M37" s="10">
        <f>N37-K37</f>
        <v/>
      </c>
      <c r="N37" s="10" t="n">
        <v>49</v>
      </c>
      <c r="O37" s="11">
        <f>N37/$D$37</f>
        <v/>
      </c>
      <c r="P37" s="10">
        <f>Q37-N37</f>
        <v/>
      </c>
      <c r="Q37" s="10" t="n">
        <v>49</v>
      </c>
      <c r="R37" s="11">
        <f>Q37/$D$37</f>
        <v/>
      </c>
      <c r="S37" s="12">
        <f>T37-Q37</f>
        <v/>
      </c>
      <c r="T37" s="12" t="n">
        <v>51</v>
      </c>
      <c r="U37" s="13">
        <f>T37/$D$37</f>
        <v/>
      </c>
      <c r="V37" s="8" t="inlineStr"/>
    </row>
    <row r="38">
      <c r="A38" s="7" t="n">
        <v>34</v>
      </c>
      <c r="B38" s="8" t="inlineStr">
        <is>
          <t>Eco Botanic - Sa.Young 3 D'Eco Botanic</t>
        </is>
      </c>
      <c r="C38" s="9" t="n">
        <v>45931</v>
      </c>
      <c r="D38" s="10" t="n">
        <v>1200</v>
      </c>
      <c r="E38" s="7" t="inlineStr">
        <is>
          <t>19985-10</t>
        </is>
      </c>
      <c r="F38" s="8" t="inlineStr">
        <is>
          <t>MELIA SPRING SDN. BHD.</t>
        </is>
      </c>
      <c r="G38" s="10" t="n"/>
      <c r="H38" s="10" t="n">
        <v>357</v>
      </c>
      <c r="I38" s="11">
        <f>H38/$D$38</f>
        <v/>
      </c>
      <c r="J38" s="10">
        <f>K38-H38</f>
        <v/>
      </c>
      <c r="K38" s="10" t="n">
        <v>358</v>
      </c>
      <c r="L38" s="11">
        <f>K38/$D$38</f>
        <v/>
      </c>
      <c r="M38" s="10">
        <f>N38-K38</f>
        <v/>
      </c>
      <c r="N38" s="10" t="n">
        <v>358</v>
      </c>
      <c r="O38" s="11">
        <f>N38/$D$38</f>
        <v/>
      </c>
      <c r="P38" s="10">
        <f>Q38-N38</f>
        <v/>
      </c>
      <c r="Q38" s="10" t="n">
        <v>359</v>
      </c>
      <c r="R38" s="11">
        <f>Q38/$D$38</f>
        <v/>
      </c>
      <c r="S38" s="12">
        <f>T38-Q38</f>
        <v/>
      </c>
      <c r="T38" s="12" t="n">
        <v>359</v>
      </c>
      <c r="U38" s="13">
        <f>T38/$D$38</f>
        <v/>
      </c>
      <c r="V38" s="8" t="inlineStr"/>
    </row>
    <row r="39">
      <c r="A39" s="7" t="n">
        <v>35</v>
      </c>
      <c r="B39" s="8" t="inlineStr">
        <is>
          <t>Eco Botanic - The Commune P1-P5</t>
        </is>
      </c>
      <c r="C39" s="9" t="n">
        <v>44851</v>
      </c>
      <c r="D39" s="10" t="n">
        <v>364</v>
      </c>
      <c r="E39" s="7" t="inlineStr">
        <is>
          <t>19985-6</t>
        </is>
      </c>
      <c r="F39" s="8" t="inlineStr">
        <is>
          <t>MELIA SPRING SDN. BHD.</t>
        </is>
      </c>
      <c r="G39" s="10" t="n"/>
      <c r="H39" s="10" t="n">
        <v>364</v>
      </c>
      <c r="I39" s="11">
        <f>H39/$D$39</f>
        <v/>
      </c>
      <c r="J39" s="10">
        <f>K39-H39</f>
        <v/>
      </c>
      <c r="K39" s="10" t="n">
        <v>364</v>
      </c>
      <c r="L39" s="11">
        <f>K39/$D$39</f>
        <v/>
      </c>
      <c r="M39" s="10">
        <f>N39-K39</f>
        <v/>
      </c>
      <c r="N39" s="10" t="n">
        <v>364</v>
      </c>
      <c r="O39" s="11">
        <f>N39/$D$39</f>
        <v/>
      </c>
      <c r="P39" s="10">
        <f>Q39-N39</f>
        <v/>
      </c>
      <c r="Q39" s="10" t="n">
        <v>364</v>
      </c>
      <c r="R39" s="11">
        <f>Q39/$D$39</f>
        <v/>
      </c>
      <c r="S39" s="12">
        <f>T39-Q39</f>
        <v/>
      </c>
      <c r="T39" s="12" t="n">
        <v>364</v>
      </c>
      <c r="U39" s="13">
        <f>T39/$D$39</f>
        <v/>
      </c>
      <c r="V39" s="8" t="inlineStr"/>
    </row>
    <row r="40">
      <c r="A40" s="7" t="n">
        <v>36</v>
      </c>
      <c r="B40" s="8" t="inlineStr">
        <is>
          <t>Eco Botanic - Residensi Botani 3</t>
        </is>
      </c>
      <c r="C40" s="9" t="n">
        <v>45271</v>
      </c>
      <c r="D40" s="10" t="n">
        <v>112</v>
      </c>
      <c r="E40" s="7" t="inlineStr">
        <is>
          <t>19985-7</t>
        </is>
      </c>
      <c r="F40" s="8" t="inlineStr">
        <is>
          <t>MELIA SPRING SDN. BHD.</t>
        </is>
      </c>
      <c r="G40" s="10" t="n"/>
      <c r="H40" s="10" t="n">
        <v>83</v>
      </c>
      <c r="I40" s="11">
        <f>H40/$D$40</f>
        <v/>
      </c>
      <c r="J40" s="10">
        <f>K40-H40</f>
        <v/>
      </c>
      <c r="K40" s="10" t="n">
        <v>83</v>
      </c>
      <c r="L40" s="11">
        <f>K40/$D$40</f>
        <v/>
      </c>
      <c r="M40" s="10">
        <f>N40-K40</f>
        <v/>
      </c>
      <c r="N40" s="10" t="n">
        <v>84</v>
      </c>
      <c r="O40" s="11">
        <f>N40/$D$40</f>
        <v/>
      </c>
      <c r="P40" s="10">
        <f>Q40-N40</f>
        <v/>
      </c>
      <c r="Q40" s="10" t="n">
        <v>84</v>
      </c>
      <c r="R40" s="11">
        <f>Q40/$D$40</f>
        <v/>
      </c>
      <c r="S40" s="12">
        <f>T40-Q40</f>
        <v/>
      </c>
      <c r="T40" s="12" t="n">
        <v>84</v>
      </c>
      <c r="U40" s="13">
        <f>T40/$D$40</f>
        <v/>
      </c>
      <c r="V40" s="8" t="inlineStr"/>
    </row>
    <row r="41">
      <c r="A41" s="7" t="n">
        <v>37</v>
      </c>
      <c r="B41" s="8" t="inlineStr">
        <is>
          <t>Eco Botanic - Residensi Botani 3</t>
        </is>
      </c>
      <c r="C41" s="9" t="n">
        <v>45292</v>
      </c>
      <c r="D41" s="10" t="n">
        <v>128</v>
      </c>
      <c r="E41" s="7" t="inlineStr">
        <is>
          <t>19985-8</t>
        </is>
      </c>
      <c r="F41" s="8" t="inlineStr">
        <is>
          <t>MELIA SPRING SDN. BHD.</t>
        </is>
      </c>
      <c r="G41" s="10" t="n"/>
      <c r="H41" s="10" t="n">
        <v>114</v>
      </c>
      <c r="I41" s="11">
        <f>H41/$D$41</f>
        <v/>
      </c>
      <c r="J41" s="10">
        <f>K41-H41</f>
        <v/>
      </c>
      <c r="K41" s="10" t="n">
        <v>114</v>
      </c>
      <c r="L41" s="11">
        <f>K41/$D$41</f>
        <v/>
      </c>
      <c r="M41" s="10">
        <f>N41-K41</f>
        <v/>
      </c>
      <c r="N41" s="10" t="n">
        <v>114</v>
      </c>
      <c r="O41" s="11">
        <f>N41/$D$41</f>
        <v/>
      </c>
      <c r="P41" s="10">
        <f>Q41-N41</f>
        <v/>
      </c>
      <c r="Q41" s="10" t="n">
        <v>114</v>
      </c>
      <c r="R41" s="11">
        <f>Q41/$D$41</f>
        <v/>
      </c>
      <c r="S41" s="12">
        <f>T41-Q41</f>
        <v/>
      </c>
      <c r="T41" s="12" t="n">
        <v>114</v>
      </c>
      <c r="U41" s="13">
        <f>T41/$D$41</f>
        <v/>
      </c>
      <c r="V41" s="8" t="inlineStr"/>
    </row>
    <row r="42">
      <c r="A42" s="7" t="n">
        <v>38</v>
      </c>
      <c r="B42" s="8" t="inlineStr">
        <is>
          <t>Eco Botanic - Sa.Young 2 D'Eco Botanic</t>
        </is>
      </c>
      <c r="C42" s="9" t="n">
        <v>45425</v>
      </c>
      <c r="D42" s="10" t="n">
        <v>509</v>
      </c>
      <c r="E42" s="7" t="inlineStr">
        <is>
          <t>19985-9</t>
        </is>
      </c>
      <c r="F42" s="8" t="inlineStr">
        <is>
          <t>MELIA SPRING SDN. BHD.</t>
        </is>
      </c>
      <c r="G42" s="10" t="n"/>
      <c r="H42" s="10" t="n">
        <v>507</v>
      </c>
      <c r="I42" s="11">
        <f>H42/$D$42</f>
        <v/>
      </c>
      <c r="J42" s="10">
        <f>K42-H42</f>
        <v/>
      </c>
      <c r="K42" s="10" t="n">
        <v>507</v>
      </c>
      <c r="L42" s="11">
        <f>K42/$D$42</f>
        <v/>
      </c>
      <c r="M42" s="10">
        <f>N42-K42</f>
        <v/>
      </c>
      <c r="N42" s="10" t="n">
        <v>508</v>
      </c>
      <c r="O42" s="11">
        <f>N42/$D$42</f>
        <v/>
      </c>
      <c r="P42" s="10">
        <f>Q42-N42</f>
        <v/>
      </c>
      <c r="Q42" s="10" t="n">
        <v>508</v>
      </c>
      <c r="R42" s="11">
        <f>Q42/$D$42</f>
        <v/>
      </c>
      <c r="S42" s="12">
        <f>T42-Q42</f>
        <v/>
      </c>
      <c r="T42" s="12" t="n">
        <v>508</v>
      </c>
      <c r="U42" s="13">
        <f>T42/$D$42</f>
        <v/>
      </c>
      <c r="V42" s="8" t="inlineStr"/>
    </row>
    <row r="43">
      <c r="A43" s="7" t="n">
        <v>39</v>
      </c>
      <c r="B43" s="8" t="inlineStr">
        <is>
          <t>Eco Tropics - Ekotropika 4</t>
        </is>
      </c>
      <c r="C43" s="9" t="n">
        <v>44945</v>
      </c>
      <c r="D43" s="10" t="n">
        <v>164</v>
      </c>
      <c r="E43" s="7" t="inlineStr">
        <is>
          <t>6443-20</t>
        </is>
      </c>
      <c r="F43" s="8" t="inlineStr">
        <is>
          <t>ECO TROPICS DEVELOPMENT SDN. BHD.</t>
        </is>
      </c>
      <c r="G43" s="10" t="n"/>
      <c r="H43" s="10" t="n">
        <v>164</v>
      </c>
      <c r="I43" s="11">
        <f>H43/$D$43</f>
        <v/>
      </c>
      <c r="J43" s="10">
        <f>K43-H43</f>
        <v/>
      </c>
      <c r="K43" s="10" t="n">
        <v>164</v>
      </c>
      <c r="L43" s="11">
        <f>K43/$D$43</f>
        <v/>
      </c>
      <c r="M43" s="10">
        <f>N43-K43</f>
        <v/>
      </c>
      <c r="N43" s="10" t="n">
        <v>164</v>
      </c>
      <c r="O43" s="11">
        <f>N43/$D$43</f>
        <v/>
      </c>
      <c r="P43" s="10">
        <f>Q43-N43</f>
        <v/>
      </c>
      <c r="Q43" s="10" t="n">
        <v>164</v>
      </c>
      <c r="R43" s="11">
        <f>Q43/$D$43</f>
        <v/>
      </c>
      <c r="S43" s="12">
        <f>T43-Q43</f>
        <v/>
      </c>
      <c r="T43" s="12" t="n">
        <v>164</v>
      </c>
      <c r="U43" s="13">
        <f>T43/$D$43</f>
        <v/>
      </c>
      <c r="V43" s="8" t="inlineStr"/>
    </row>
    <row r="44">
      <c r="A44" s="7" t="n">
        <v>40</v>
      </c>
      <c r="B44" s="8" t="inlineStr">
        <is>
          <t>Eco Tropics - Ekotropika 4</t>
        </is>
      </c>
      <c r="C44" s="9" t="n">
        <v>45013</v>
      </c>
      <c r="D44" s="10" t="n">
        <v>50</v>
      </c>
      <c r="E44" s="7" t="inlineStr">
        <is>
          <t>6443-21</t>
        </is>
      </c>
      <c r="F44" s="8" t="inlineStr">
        <is>
          <t>ECO TROPICS DEVELOPMENT SDN. BHD.</t>
        </is>
      </c>
      <c r="G44" s="10" t="n"/>
      <c r="H44" s="10" t="n">
        <v>50</v>
      </c>
      <c r="I44" s="11">
        <f>H44/$D$44</f>
        <v/>
      </c>
      <c r="J44" s="10">
        <f>K44-H44</f>
        <v/>
      </c>
      <c r="K44" s="10" t="n">
        <v>50</v>
      </c>
      <c r="L44" s="11">
        <f>K44/$D$44</f>
        <v/>
      </c>
      <c r="M44" s="10">
        <f>N44-K44</f>
        <v/>
      </c>
      <c r="N44" s="10" t="n">
        <v>50</v>
      </c>
      <c r="O44" s="11">
        <f>N44/$D$44</f>
        <v/>
      </c>
      <c r="P44" s="10">
        <f>Q44-N44</f>
        <v/>
      </c>
      <c r="Q44" s="10" t="n">
        <v>50</v>
      </c>
      <c r="R44" s="11">
        <f>Q44/$D$44</f>
        <v/>
      </c>
      <c r="S44" s="12">
        <f>T44-Q44</f>
        <v/>
      </c>
      <c r="T44" s="12" t="n">
        <v>50</v>
      </c>
      <c r="U44" s="13">
        <f>T44/$D$44</f>
        <v/>
      </c>
      <c r="V44" s="8" t="inlineStr"/>
    </row>
    <row r="45">
      <c r="A45" s="7" t="n">
        <v>41</v>
      </c>
      <c r="B45" s="8" t="inlineStr">
        <is>
          <t>Eco Tropics - Ekotropika 4</t>
        </is>
      </c>
      <c r="C45" s="9" t="n">
        <v>45036</v>
      </c>
      <c r="D45" s="10" t="n">
        <v>48</v>
      </c>
      <c r="E45" s="7" t="inlineStr">
        <is>
          <t>6443-22</t>
        </is>
      </c>
      <c r="F45" s="8" t="inlineStr">
        <is>
          <t>ECO TROPICS DEVELOPMENT SDN. BHD.</t>
        </is>
      </c>
      <c r="G45" s="10" t="n"/>
      <c r="H45" s="10" t="n">
        <v>48</v>
      </c>
      <c r="I45" s="11">
        <f>H45/$D$45</f>
        <v/>
      </c>
      <c r="J45" s="10">
        <f>K45-H45</f>
        <v/>
      </c>
      <c r="K45" s="10" t="n">
        <v>48</v>
      </c>
      <c r="L45" s="11">
        <f>K45/$D$45</f>
        <v/>
      </c>
      <c r="M45" s="10">
        <f>N45-K45</f>
        <v/>
      </c>
      <c r="N45" s="10" t="n">
        <v>48</v>
      </c>
      <c r="O45" s="11">
        <f>N45/$D$45</f>
        <v/>
      </c>
      <c r="P45" s="10">
        <f>Q45-N45</f>
        <v/>
      </c>
      <c r="Q45" s="10" t="n">
        <v>48</v>
      </c>
      <c r="R45" s="11">
        <f>Q45/$D$45</f>
        <v/>
      </c>
      <c r="S45" s="12">
        <f>T45-Q45</f>
        <v/>
      </c>
      <c r="T45" s="12" t="n">
        <v>48</v>
      </c>
      <c r="U45" s="13">
        <f>T45/$D$45</f>
        <v/>
      </c>
      <c r="V45" s="8" t="inlineStr"/>
    </row>
    <row r="46">
      <c r="A46" s="7" t="n">
        <v>42</v>
      </c>
      <c r="B46" s="8" t="inlineStr">
        <is>
          <t>Eco Tropics - Ekotropika 4</t>
        </is>
      </c>
      <c r="C46" s="9" t="n">
        <v>45176</v>
      </c>
      <c r="D46" s="10" t="n">
        <v>48</v>
      </c>
      <c r="E46" s="7" t="inlineStr">
        <is>
          <t>6443-24</t>
        </is>
      </c>
      <c r="F46" s="8" t="inlineStr">
        <is>
          <t>ECO TROPICS DEVELOPMENT SDN. BHD.</t>
        </is>
      </c>
      <c r="G46" s="10" t="n"/>
      <c r="H46" s="10" t="n">
        <v>48</v>
      </c>
      <c r="I46" s="11">
        <f>H46/$D$46</f>
        <v/>
      </c>
      <c r="J46" s="10">
        <f>K46-H46</f>
        <v/>
      </c>
      <c r="K46" s="10" t="n">
        <v>48</v>
      </c>
      <c r="L46" s="11">
        <f>K46/$D$46</f>
        <v/>
      </c>
      <c r="M46" s="10">
        <f>N46-K46</f>
        <v/>
      </c>
      <c r="N46" s="10" t="n">
        <v>48</v>
      </c>
      <c r="O46" s="11">
        <f>N46/$D$46</f>
        <v/>
      </c>
      <c r="P46" s="10">
        <f>Q46-N46</f>
        <v/>
      </c>
      <c r="Q46" s="10" t="n">
        <v>48</v>
      </c>
      <c r="R46" s="11">
        <f>Q46/$D$46</f>
        <v/>
      </c>
      <c r="S46" s="12">
        <f>T46-Q46</f>
        <v/>
      </c>
      <c r="T46" s="12" t="n">
        <v>48</v>
      </c>
      <c r="U46" s="13">
        <f>T46/$D$46</f>
        <v/>
      </c>
      <c r="V46" s="8" t="inlineStr"/>
    </row>
    <row r="47">
      <c r="A47" s="7" t="n">
        <v>43</v>
      </c>
      <c r="B47" s="8" t="inlineStr">
        <is>
          <t>Eco Tropics - Ekotropika 4</t>
        </is>
      </c>
      <c r="C47" s="9" t="n">
        <v>45236</v>
      </c>
      <c r="D47" s="10" t="n">
        <v>80</v>
      </c>
      <c r="E47" s="7" t="inlineStr">
        <is>
          <t>6443-25</t>
        </is>
      </c>
      <c r="F47" s="8" t="inlineStr">
        <is>
          <t>ECO TROPICS DEVELOPMENT SDN. BHD.</t>
        </is>
      </c>
      <c r="G47" s="10" t="n"/>
      <c r="H47" s="10" t="n">
        <v>80</v>
      </c>
      <c r="I47" s="11">
        <f>H47/$D$47</f>
        <v/>
      </c>
      <c r="J47" s="10">
        <f>K47-H47</f>
        <v/>
      </c>
      <c r="K47" s="10" t="n">
        <v>80</v>
      </c>
      <c r="L47" s="11">
        <f>K47/$D$47</f>
        <v/>
      </c>
      <c r="M47" s="10">
        <f>N47-K47</f>
        <v/>
      </c>
      <c r="N47" s="10" t="n">
        <v>80</v>
      </c>
      <c r="O47" s="11">
        <f>N47/$D$47</f>
        <v/>
      </c>
      <c r="P47" s="10">
        <f>Q47-N47</f>
        <v/>
      </c>
      <c r="Q47" s="10" t="n">
        <v>80</v>
      </c>
      <c r="R47" s="11">
        <f>Q47/$D$47</f>
        <v/>
      </c>
      <c r="S47" s="12">
        <f>T47-Q47</f>
        <v/>
      </c>
      <c r="T47" s="12" t="n">
        <v>80</v>
      </c>
      <c r="U47" s="13">
        <f>T47/$D$47</f>
        <v/>
      </c>
      <c r="V47" s="8" t="inlineStr"/>
    </row>
    <row r="48">
      <c r="A48" s="7" t="n">
        <v>44</v>
      </c>
      <c r="B48" s="8" t="inlineStr">
        <is>
          <t>Eco Tropics - Ekotropika 4</t>
        </is>
      </c>
      <c r="C48" s="9" t="n">
        <v>45236</v>
      </c>
      <c r="D48" s="10" t="n">
        <v>100</v>
      </c>
      <c r="E48" s="7" t="inlineStr">
        <is>
          <t>6443-26</t>
        </is>
      </c>
      <c r="F48" s="8" t="inlineStr">
        <is>
          <t>ECO TROPICS DEVELOPMENT SDN. BHD.</t>
        </is>
      </c>
      <c r="G48" s="10" t="n"/>
      <c r="H48" s="10" t="n">
        <v>100</v>
      </c>
      <c r="I48" s="11">
        <f>H48/$D$48</f>
        <v/>
      </c>
      <c r="J48" s="10">
        <f>K48-H48</f>
        <v/>
      </c>
      <c r="K48" s="10" t="n">
        <v>100</v>
      </c>
      <c r="L48" s="11">
        <f>K48/$D$48</f>
        <v/>
      </c>
      <c r="M48" s="10">
        <f>N48-K48</f>
        <v/>
      </c>
      <c r="N48" s="10" t="n">
        <v>100</v>
      </c>
      <c r="O48" s="11">
        <f>N48/$D$48</f>
        <v/>
      </c>
      <c r="P48" s="10">
        <f>Q48-N48</f>
        <v/>
      </c>
      <c r="Q48" s="10" t="n">
        <v>100</v>
      </c>
      <c r="R48" s="11">
        <f>Q48/$D$48</f>
        <v/>
      </c>
      <c r="S48" s="12">
        <f>T48-Q48</f>
        <v/>
      </c>
      <c r="T48" s="12" t="n">
        <v>100</v>
      </c>
      <c r="U48" s="13">
        <f>T48/$D$48</f>
        <v/>
      </c>
      <c r="V48" s="8" t="inlineStr"/>
    </row>
    <row r="49">
      <c r="A49" s="7" t="n">
        <v>45</v>
      </c>
      <c r="B49" s="8" t="inlineStr">
        <is>
          <t>Eco Tropics - Laman Indah 3</t>
        </is>
      </c>
      <c r="C49" s="9" t="n">
        <v>45609</v>
      </c>
      <c r="D49" s="10" t="n">
        <v>280</v>
      </c>
      <c r="E49" s="7" t="inlineStr">
        <is>
          <t>6443-27</t>
        </is>
      </c>
      <c r="F49" s="8" t="inlineStr">
        <is>
          <t>ECO TROPICS DEVELOPMENT SDN. BHD.</t>
        </is>
      </c>
      <c r="G49" s="10" t="n"/>
      <c r="H49" s="10" t="n">
        <v>276</v>
      </c>
      <c r="I49" s="11">
        <f>H49/$D$49</f>
        <v/>
      </c>
      <c r="J49" s="10">
        <f>K49-H49</f>
        <v/>
      </c>
      <c r="K49" s="10" t="n">
        <v>276</v>
      </c>
      <c r="L49" s="11">
        <f>K49/$D$49</f>
        <v/>
      </c>
      <c r="M49" s="10">
        <f>N49-K49</f>
        <v/>
      </c>
      <c r="N49" s="10" t="n">
        <v>276</v>
      </c>
      <c r="O49" s="11">
        <f>N49/$D$49</f>
        <v/>
      </c>
      <c r="P49" s="10">
        <f>Q49-N49</f>
        <v/>
      </c>
      <c r="Q49" s="10" t="n">
        <v>276</v>
      </c>
      <c r="R49" s="11">
        <f>Q49/$D$49</f>
        <v/>
      </c>
      <c r="S49" s="12">
        <f>T49-Q49</f>
        <v/>
      </c>
      <c r="T49" s="12" t="n">
        <v>276</v>
      </c>
      <c r="U49" s="13">
        <f>T49/$D$49</f>
        <v/>
      </c>
      <c r="V49" s="8" t="inlineStr"/>
    </row>
    <row r="50">
      <c r="A50" s="7" t="n">
        <v>46</v>
      </c>
      <c r="B50" s="8" t="inlineStr">
        <is>
          <t>Eco Tropics - Laman Indah 3</t>
        </is>
      </c>
      <c r="C50" s="9" t="n">
        <v>45609</v>
      </c>
      <c r="D50" s="10" t="n">
        <v>282</v>
      </c>
      <c r="E50" s="7" t="inlineStr">
        <is>
          <t>6443-28</t>
        </is>
      </c>
      <c r="F50" s="8" t="inlineStr">
        <is>
          <t>ECO TROPICS DEVELOPMENT SDN. BHD.</t>
        </is>
      </c>
      <c r="G50" s="10" t="n"/>
      <c r="H50" s="10" t="n">
        <v>262</v>
      </c>
      <c r="I50" s="11">
        <f>H50/$D$50</f>
        <v/>
      </c>
      <c r="J50" s="10">
        <f>K50-H50</f>
        <v/>
      </c>
      <c r="K50" s="10" t="n">
        <v>262</v>
      </c>
      <c r="L50" s="11">
        <f>K50/$D$50</f>
        <v/>
      </c>
      <c r="M50" s="10">
        <f>N50-K50</f>
        <v/>
      </c>
      <c r="N50" s="10" t="n">
        <v>262</v>
      </c>
      <c r="O50" s="11">
        <f>N50/$D$50</f>
        <v/>
      </c>
      <c r="P50" s="10">
        <f>Q50-N50</f>
        <v/>
      </c>
      <c r="Q50" s="10" t="n">
        <v>266</v>
      </c>
      <c r="R50" s="11">
        <f>Q50/$D$50</f>
        <v/>
      </c>
      <c r="S50" s="12">
        <f>T50-Q50</f>
        <v/>
      </c>
      <c r="T50" s="12" t="n">
        <v>266</v>
      </c>
      <c r="U50" s="13">
        <f>T50/$D$50</f>
        <v/>
      </c>
      <c r="V50" s="8" t="inlineStr"/>
    </row>
    <row r="51">
      <c r="A51" s="7" t="n">
        <v>47</v>
      </c>
      <c r="B51" s="8" t="inlineStr">
        <is>
          <t>Eco Tropics - Ekotropika 10</t>
        </is>
      </c>
      <c r="C51" s="9" t="n">
        <v>45757</v>
      </c>
      <c r="D51" s="10" t="n">
        <v>425</v>
      </c>
      <c r="E51" s="7" t="inlineStr">
        <is>
          <t>6443-29</t>
        </is>
      </c>
      <c r="F51" s="8" t="inlineStr">
        <is>
          <t>ECO TROPICS DEVELOPMENT SDN. BHD.</t>
        </is>
      </c>
      <c r="G51" s="10" t="n"/>
      <c r="H51" s="10" t="n">
        <v>382</v>
      </c>
      <c r="I51" s="11">
        <f>H51/$D$51</f>
        <v/>
      </c>
      <c r="J51" s="10">
        <f>K51-H51</f>
        <v/>
      </c>
      <c r="K51" s="10" t="n">
        <v>382</v>
      </c>
      <c r="L51" s="11">
        <f>K51/$D$51</f>
        <v/>
      </c>
      <c r="M51" s="10">
        <f>N51-K51</f>
        <v/>
      </c>
      <c r="N51" s="10" t="n">
        <v>382</v>
      </c>
      <c r="O51" s="11">
        <f>N51/$D$51</f>
        <v/>
      </c>
      <c r="P51" s="10">
        <f>Q51-N51</f>
        <v/>
      </c>
      <c r="Q51" s="10" t="n">
        <v>382</v>
      </c>
      <c r="R51" s="11">
        <f>Q51/$D$51</f>
        <v/>
      </c>
      <c r="S51" s="12">
        <f>T51-Q51</f>
        <v/>
      </c>
      <c r="T51" s="12" t="n">
        <v>383</v>
      </c>
      <c r="U51" s="13">
        <f>T51/$D$51</f>
        <v/>
      </c>
      <c r="V51" s="8" t="inlineStr"/>
    </row>
    <row r="52">
      <c r="A52" s="7" t="n">
        <v>48</v>
      </c>
      <c r="B52" s="8" t="inlineStr">
        <is>
          <t>Eco Tropics - Ekotropika 10</t>
        </is>
      </c>
      <c r="C52" s="9" t="n">
        <v>45911</v>
      </c>
      <c r="D52" s="10" t="n">
        <v>118</v>
      </c>
      <c r="E52" s="7" t="inlineStr">
        <is>
          <t>6443-30</t>
        </is>
      </c>
      <c r="F52" s="8" t="inlineStr">
        <is>
          <t>ECO TROPICS DEVELOPMENT SDN. BHD.</t>
        </is>
      </c>
      <c r="G52" s="10" t="n"/>
      <c r="H52" s="10" t="n">
        <v>82</v>
      </c>
      <c r="I52" s="11">
        <f>H52/$D$52</f>
        <v/>
      </c>
      <c r="J52" s="10">
        <f>K52-H52</f>
        <v/>
      </c>
      <c r="K52" s="10" t="n">
        <v>82</v>
      </c>
      <c r="L52" s="11">
        <f>K52/$D$52</f>
        <v/>
      </c>
      <c r="M52" s="10">
        <f>N52-K52</f>
        <v/>
      </c>
      <c r="N52" s="10" t="n">
        <v>82</v>
      </c>
      <c r="O52" s="11">
        <f>N52/$D$52</f>
        <v/>
      </c>
      <c r="P52" s="10">
        <f>Q52-N52</f>
        <v/>
      </c>
      <c r="Q52" s="10" t="n">
        <v>82</v>
      </c>
      <c r="R52" s="11">
        <f>Q52/$D$52</f>
        <v/>
      </c>
      <c r="S52" s="12">
        <f>T52-Q52</f>
        <v/>
      </c>
      <c r="T52" s="12" t="n">
        <v>82</v>
      </c>
      <c r="U52" s="13">
        <f>T52/$D$52</f>
        <v/>
      </c>
      <c r="V52" s="8" t="inlineStr"/>
    </row>
    <row r="53">
      <c r="A53" s="7" t="n">
        <v>49</v>
      </c>
      <c r="B53" s="8" t="inlineStr">
        <is>
          <t>Eco Tropics - Ekotropika 10</t>
        </is>
      </c>
      <c r="C53" s="9" t="n">
        <v>45911</v>
      </c>
      <c r="D53" s="10" t="n">
        <v>83</v>
      </c>
      <c r="E53" s="7" t="inlineStr">
        <is>
          <t>6443-31</t>
        </is>
      </c>
      <c r="F53" s="8" t="inlineStr">
        <is>
          <t>ECO TROPICS DEVELOPMENT SDN. BHD.</t>
        </is>
      </c>
      <c r="G53" s="10" t="n"/>
      <c r="H53" s="10" t="n">
        <v>70</v>
      </c>
      <c r="I53" s="11">
        <f>H53/$D$53</f>
        <v/>
      </c>
      <c r="J53" s="10">
        <f>K53-H53</f>
        <v/>
      </c>
      <c r="K53" s="10" t="n">
        <v>70</v>
      </c>
      <c r="L53" s="11">
        <f>K53/$D$53</f>
        <v/>
      </c>
      <c r="M53" s="10">
        <f>N53-K53</f>
        <v/>
      </c>
      <c r="N53" s="10" t="n">
        <v>70</v>
      </c>
      <c r="O53" s="11">
        <f>N53/$D$53</f>
        <v/>
      </c>
      <c r="P53" s="10">
        <f>Q53-N53</f>
        <v/>
      </c>
      <c r="Q53" s="10" t="n">
        <v>70</v>
      </c>
      <c r="R53" s="11">
        <f>Q53/$D$53</f>
        <v/>
      </c>
      <c r="S53" s="12">
        <f>T53-Q53</f>
        <v/>
      </c>
      <c r="T53" s="12" t="n">
        <v>70</v>
      </c>
      <c r="U53" s="13">
        <f>T53/$D$53</f>
        <v/>
      </c>
      <c r="V53" s="8" t="inlineStr"/>
    </row>
    <row r="54">
      <c r="A54" s="7" t="n">
        <v>50</v>
      </c>
      <c r="B54" s="8" t="inlineStr">
        <is>
          <t>Eco Tropics - Ekotropika 10</t>
        </is>
      </c>
      <c r="C54" s="9" t="n">
        <v>45946</v>
      </c>
      <c r="D54" s="10" t="n">
        <v>76</v>
      </c>
      <c r="E54" s="7" t="inlineStr">
        <is>
          <t>6443-32</t>
        </is>
      </c>
      <c r="F54" s="8" t="inlineStr">
        <is>
          <t>ECO TROPICS DEVELOPMENT SDN. BHD.</t>
        </is>
      </c>
      <c r="G54" s="10" t="n"/>
      <c r="H54" s="10" t="n">
        <v>76</v>
      </c>
      <c r="I54" s="11">
        <f>H54/$D$54</f>
        <v/>
      </c>
      <c r="J54" s="10">
        <f>K54-H54</f>
        <v/>
      </c>
      <c r="K54" s="10" t="n">
        <v>76</v>
      </c>
      <c r="L54" s="11">
        <f>K54/$D$54</f>
        <v/>
      </c>
      <c r="M54" s="10">
        <f>N54-K54</f>
        <v/>
      </c>
      <c r="N54" s="10" t="n">
        <v>76</v>
      </c>
      <c r="O54" s="11">
        <f>N54/$D$54</f>
        <v/>
      </c>
      <c r="P54" s="10">
        <f>Q54-N54</f>
        <v/>
      </c>
      <c r="Q54" s="10" t="n">
        <v>76</v>
      </c>
      <c r="R54" s="11">
        <f>Q54/$D$54</f>
        <v/>
      </c>
      <c r="S54" s="12">
        <f>T54-Q54</f>
        <v/>
      </c>
      <c r="T54" s="12" t="n">
        <v>76</v>
      </c>
      <c r="U54" s="13">
        <f>T54/$D$54</f>
        <v/>
      </c>
      <c r="V54" s="8" t="inlineStr"/>
    </row>
    <row r="55">
      <c r="A55" s="7" t="n">
        <v>51</v>
      </c>
      <c r="B55" s="8" t="inlineStr">
        <is>
          <t>Eco Tropics - Ekotropika 9</t>
        </is>
      </c>
      <c r="C55" s="9" t="n">
        <v>46248</v>
      </c>
      <c r="D55" s="10" t="n">
        <v>216</v>
      </c>
      <c r="E55" s="7" t="inlineStr">
        <is>
          <t>6443-33</t>
        </is>
      </c>
      <c r="F55" s="8" t="inlineStr">
        <is>
          <t>ECO TROPICS DEVELOPMENT SDN. BHD.</t>
        </is>
      </c>
      <c r="G55" s="10" t="n"/>
      <c r="H55" s="10" t="n">
        <v>1</v>
      </c>
      <c r="I55" s="11">
        <f>H55/$D$55</f>
        <v/>
      </c>
      <c r="J55" s="10">
        <f>K55-H55</f>
        <v/>
      </c>
      <c r="K55" s="10" t="n">
        <v>0</v>
      </c>
      <c r="L55" s="11">
        <f>K55/$D$55</f>
        <v/>
      </c>
      <c r="M55" s="10">
        <f>N55-K55</f>
        <v/>
      </c>
      <c r="N55" s="10" t="n">
        <v>0</v>
      </c>
      <c r="O55" s="11">
        <f>N55/$D$55</f>
        <v/>
      </c>
      <c r="P55" s="10">
        <f>Q55-N55</f>
        <v/>
      </c>
      <c r="Q55" s="10" t="n">
        <v>0</v>
      </c>
      <c r="R55" s="11">
        <f>Q55/$D$55</f>
        <v/>
      </c>
      <c r="S55" s="12">
        <f>T55-Q55</f>
        <v/>
      </c>
      <c r="T55" s="12" t="n">
        <v>0</v>
      </c>
      <c r="U55" s="13">
        <f>T55/$D$55</f>
        <v/>
      </c>
      <c r="V55" s="8" t="inlineStr"/>
    </row>
    <row r="56">
      <c r="A56" s="7" t="n">
        <v>52</v>
      </c>
      <c r="B56" s="8" t="inlineStr">
        <is>
          <t>Eco Tropics - Ekotropika 9</t>
        </is>
      </c>
      <c r="C56" s="9" t="n">
        <v>46248</v>
      </c>
      <c r="D56" s="10" t="n">
        <v>177</v>
      </c>
      <c r="E56" s="7" t="inlineStr">
        <is>
          <t>6443-34</t>
        </is>
      </c>
      <c r="F56" s="8" t="inlineStr">
        <is>
          <t>ECO TROPICS DEVELOPMENT SDN. BHD.</t>
        </is>
      </c>
      <c r="G56" s="10" t="n"/>
      <c r="H56" s="10" t="n">
        <v>2</v>
      </c>
      <c r="I56" s="11">
        <f>H56/$D$56</f>
        <v/>
      </c>
      <c r="J56" s="10">
        <f>K56-H56</f>
        <v/>
      </c>
      <c r="K56" s="10" t="n">
        <v>0</v>
      </c>
      <c r="L56" s="11">
        <f>K56/$D$56</f>
        <v/>
      </c>
      <c r="M56" s="10">
        <f>N56-K56</f>
        <v/>
      </c>
      <c r="N56" s="10" t="n">
        <v>0</v>
      </c>
      <c r="O56" s="11">
        <f>N56/$D$56</f>
        <v/>
      </c>
      <c r="P56" s="10">
        <f>Q56-N56</f>
        <v/>
      </c>
      <c r="Q56" s="10" t="n">
        <v>0</v>
      </c>
      <c r="R56" s="11">
        <f>Q56/$D$56</f>
        <v/>
      </c>
      <c r="S56" s="12">
        <f>T56-Q56</f>
        <v/>
      </c>
      <c r="T56" s="12" t="n">
        <v>0</v>
      </c>
      <c r="U56" s="13">
        <f>T56/$D$56</f>
        <v/>
      </c>
      <c r="V56" s="8" t="inlineStr"/>
    </row>
    <row r="57">
      <c r="A57" s="7" t="n">
        <v>53</v>
      </c>
      <c r="B57" s="8" t="inlineStr">
        <is>
          <t>Eco Sanctuary - Eden by The Parque Residences</t>
        </is>
      </c>
      <c r="C57" s="9" t="n">
        <v>44721</v>
      </c>
      <c r="D57" s="10" t="n">
        <v>401</v>
      </c>
      <c r="E57" s="7" t="inlineStr">
        <is>
          <t>14050-8</t>
        </is>
      </c>
      <c r="F57" s="8" t="inlineStr">
        <is>
          <t>ECO SANCTUARY SDN. BHD.</t>
        </is>
      </c>
      <c r="G57" s="10" t="n"/>
      <c r="H57" s="10" t="n">
        <v>337</v>
      </c>
      <c r="I57" s="11">
        <f>H57/$D$57</f>
        <v/>
      </c>
      <c r="J57" s="10">
        <f>K57-H57</f>
        <v/>
      </c>
      <c r="K57" s="10" t="n">
        <v>337</v>
      </c>
      <c r="L57" s="11">
        <f>K57/$D$57</f>
        <v/>
      </c>
      <c r="M57" s="10">
        <f>N57-K57</f>
        <v/>
      </c>
      <c r="N57" s="10" t="n">
        <v>337</v>
      </c>
      <c r="O57" s="11">
        <f>N57/$D$57</f>
        <v/>
      </c>
      <c r="P57" s="10">
        <f>Q57-N57</f>
        <v/>
      </c>
      <c r="Q57" s="10" t="n">
        <v>337</v>
      </c>
      <c r="R57" s="11">
        <f>Q57/$D$57</f>
        <v/>
      </c>
      <c r="S57" s="12">
        <f>T57-Q57</f>
        <v/>
      </c>
      <c r="T57" s="12" t="n">
        <v>337</v>
      </c>
      <c r="U57" s="13">
        <f>T57/$D$57</f>
        <v/>
      </c>
      <c r="V57" s="8" t="inlineStr">
        <is>
          <t>Latest sales - Block J4: 62 units, Block J5: 29 units, Block K: 246 units</t>
        </is>
      </c>
    </row>
    <row r="58">
      <c r="A58" s="7" t="n">
        <v>54</v>
      </c>
      <c r="B58" s="8" t="inlineStr">
        <is>
          <t>Eco Ardence - Huni</t>
        </is>
      </c>
      <c r="C58" s="9" t="n">
        <v>44093</v>
      </c>
      <c r="D58" s="10" t="n">
        <v>1728</v>
      </c>
      <c r="E58" s="7" t="inlineStr">
        <is>
          <t>14504-5</t>
        </is>
      </c>
      <c r="F58" s="8" t="inlineStr">
        <is>
          <t>ECO ARDENCE SDN. BHD.</t>
        </is>
      </c>
      <c r="G58" s="10" t="n"/>
      <c r="H58" s="10" t="n">
        <v>1728</v>
      </c>
      <c r="I58" s="11">
        <f>H58/$D$58</f>
        <v/>
      </c>
      <c r="J58" s="10">
        <f>K58-H58</f>
        <v/>
      </c>
      <c r="K58" s="10" t="n">
        <v>1728</v>
      </c>
      <c r="L58" s="11">
        <f>K58/$D$58</f>
        <v/>
      </c>
      <c r="M58" s="10">
        <f>N58-K58</f>
        <v/>
      </c>
      <c r="N58" s="10" t="n">
        <v>1728</v>
      </c>
      <c r="O58" s="11">
        <f>N58/$D$58</f>
        <v/>
      </c>
      <c r="P58" s="10">
        <f>Q58-N58</f>
        <v/>
      </c>
      <c r="Q58" s="10" t="n">
        <v>1728</v>
      </c>
      <c r="R58" s="11">
        <f>Q58/$D$58</f>
        <v/>
      </c>
      <c r="S58" s="12">
        <f>T58-Q58</f>
        <v/>
      </c>
      <c r="T58" s="12" t="n">
        <v>1728</v>
      </c>
      <c r="U58" s="13">
        <f>T58/$D$58</f>
        <v/>
      </c>
      <c r="V58" s="8" t="inlineStr">
        <is>
          <t>Latest sales - Block A: 704 units, Block B: 1024 units</t>
        </is>
      </c>
    </row>
    <row r="59">
      <c r="A59" s="7" t="n">
        <v>55</v>
      </c>
      <c r="B59" s="8" t="inlineStr">
        <is>
          <t>Eco Ardence - Ember</t>
        </is>
      </c>
      <c r="C59" s="9" t="n">
        <v>44677</v>
      </c>
      <c r="D59" s="10" t="n">
        <v>376</v>
      </c>
      <c r="E59" s="7" t="inlineStr">
        <is>
          <t>14504-6</t>
        </is>
      </c>
      <c r="F59" s="8" t="inlineStr">
        <is>
          <t>ECO ARDENCE SDN. BHD.</t>
        </is>
      </c>
      <c r="G59" s="10" t="n"/>
      <c r="H59" s="10" t="n">
        <v>343</v>
      </c>
      <c r="I59" s="11">
        <f>H59/$D$59</f>
        <v/>
      </c>
      <c r="J59" s="10">
        <f>K59-H59</f>
        <v/>
      </c>
      <c r="K59" s="10" t="n">
        <v>343</v>
      </c>
      <c r="L59" s="11">
        <f>K59/$D$59</f>
        <v/>
      </c>
      <c r="M59" s="10">
        <f>N59-K59</f>
        <v/>
      </c>
      <c r="N59" s="10" t="n">
        <v>343</v>
      </c>
      <c r="O59" s="11">
        <f>N59/$D$59</f>
        <v/>
      </c>
      <c r="P59" s="10">
        <f>Q59-N59</f>
        <v/>
      </c>
      <c r="Q59" s="10" t="n">
        <v>343</v>
      </c>
      <c r="R59" s="11">
        <f>Q59/$D$59</f>
        <v/>
      </c>
      <c r="S59" s="12">
        <f>T59-Q59</f>
        <v/>
      </c>
      <c r="T59" s="12" t="n">
        <v>343</v>
      </c>
      <c r="U59" s="13">
        <f>T59/$D$59</f>
        <v/>
      </c>
      <c r="V59" s="8" t="inlineStr">
        <is>
          <t>Latest sales - Block N: 36 units, Block P: 90 units, Block Q: 34 units</t>
        </is>
      </c>
    </row>
    <row r="60">
      <c r="A60" s="7" t="n">
        <v>56</v>
      </c>
      <c r="B60" s="8" t="inlineStr">
        <is>
          <t>Eco Horizon - Beldon Ph.11</t>
        </is>
      </c>
      <c r="C60" s="9" t="n">
        <v>45007</v>
      </c>
      <c r="D60" s="10" t="n">
        <v>70</v>
      </c>
      <c r="E60" s="7" t="inlineStr">
        <is>
          <t>19152-10</t>
        </is>
      </c>
      <c r="F60" s="8" t="inlineStr"/>
      <c r="G60" s="10" t="n"/>
      <c r="H60" s="10" t="n">
        <v>50</v>
      </c>
      <c r="I60" s="11">
        <f>H60/$D$60</f>
        <v/>
      </c>
      <c r="J60" s="10">
        <f>K60-H60</f>
        <v/>
      </c>
      <c r="K60" s="10" t="n">
        <v>50</v>
      </c>
      <c r="L60" s="11">
        <f>K60/$D$60</f>
        <v/>
      </c>
      <c r="M60" s="10">
        <f>N60-K60</f>
        <v/>
      </c>
      <c r="N60" s="10" t="n">
        <v>50</v>
      </c>
      <c r="O60" s="11">
        <f>N60/$D$60</f>
        <v/>
      </c>
      <c r="P60" s="10">
        <f>Q60-N60</f>
        <v/>
      </c>
      <c r="Q60" s="10" t="n">
        <v>50</v>
      </c>
      <c r="R60" s="11">
        <f>Q60/$D$60</f>
        <v/>
      </c>
      <c r="S60" s="12">
        <f>T60-Q60</f>
        <v/>
      </c>
      <c r="T60" s="12" t="n">
        <v>50</v>
      </c>
      <c r="U60" s="13">
        <f>T60/$D$60</f>
        <v/>
      </c>
      <c r="V60" s="8" t="inlineStr"/>
    </row>
    <row r="61">
      <c r="A61" s="7" t="n">
        <v>57</v>
      </c>
      <c r="B61" s="8" t="inlineStr">
        <is>
          <t>Pangsapuri Perkhidmatan Ceria (Eco Horizon)</t>
        </is>
      </c>
      <c r="C61" s="9" t="n">
        <v>45168</v>
      </c>
      <c r="D61" s="10" t="n">
        <v>1302</v>
      </c>
      <c r="E61" s="7" t="inlineStr">
        <is>
          <t>19152-11</t>
        </is>
      </c>
      <c r="F61" s="8" t="inlineStr"/>
      <c r="G61" s="10" t="n"/>
      <c r="H61" s="10" t="n">
        <v>1302</v>
      </c>
      <c r="I61" s="11">
        <f>H61/$D$61</f>
        <v/>
      </c>
      <c r="J61" s="10">
        <f>K61-H61</f>
        <v/>
      </c>
      <c r="K61" s="10" t="n">
        <v>1302</v>
      </c>
      <c r="L61" s="11">
        <f>K61/$D$61</f>
        <v/>
      </c>
      <c r="M61" s="10">
        <f>N61-K61</f>
        <v/>
      </c>
      <c r="N61" s="10" t="n">
        <v>1302</v>
      </c>
      <c r="O61" s="11">
        <f>N61/$D$61</f>
        <v/>
      </c>
      <c r="P61" s="10">
        <f>Q61-N61</f>
        <v/>
      </c>
      <c r="Q61" s="10" t="n">
        <v>1302</v>
      </c>
      <c r="R61" s="11">
        <f>Q61/$D$61</f>
        <v/>
      </c>
      <c r="S61" s="12">
        <f>T61-Q61</f>
        <v/>
      </c>
      <c r="T61" s="12" t="n">
        <v>1302</v>
      </c>
      <c r="U61" s="13">
        <f>T61/$D$61</f>
        <v/>
      </c>
      <c r="V61" s="8" t="inlineStr">
        <is>
          <t>Latest sales - Block DA: 651 units, Block DB: 651 units</t>
        </is>
      </c>
    </row>
    <row r="62">
      <c r="A62" s="7" t="n">
        <v>58</v>
      </c>
      <c r="B62" s="8" t="inlineStr">
        <is>
          <t>Ekotropika 4</t>
        </is>
      </c>
      <c r="C62" s="9" t="n">
        <v>45149</v>
      </c>
      <c r="D62" s="10" t="n">
        <v>50</v>
      </c>
      <c r="E62" s="7" t="inlineStr">
        <is>
          <t>6443-23</t>
        </is>
      </c>
      <c r="F62" s="8" t="inlineStr"/>
      <c r="G62" s="10" t="n"/>
      <c r="H62" s="10" t="n">
        <v>50</v>
      </c>
      <c r="I62" s="11">
        <f>H62/$D$62</f>
        <v/>
      </c>
      <c r="J62" s="10">
        <f>K62-H62</f>
        <v/>
      </c>
      <c r="K62" s="10" t="n">
        <v>50</v>
      </c>
      <c r="L62" s="11">
        <f>K62/$D$62</f>
        <v/>
      </c>
      <c r="M62" s="10">
        <f>N62-K62</f>
        <v/>
      </c>
      <c r="N62" s="10" t="n">
        <v>50</v>
      </c>
      <c r="O62" s="11">
        <f>N62/$D$62</f>
        <v/>
      </c>
      <c r="P62" s="10">
        <f>Q62-N62</f>
        <v/>
      </c>
      <c r="Q62" s="10" t="n">
        <v>50</v>
      </c>
      <c r="R62" s="11">
        <f>Q62/$D$62</f>
        <v/>
      </c>
      <c r="S62" s="12">
        <f>T62-Q62</f>
        <v/>
      </c>
      <c r="T62" s="12" t="n">
        <v>50</v>
      </c>
      <c r="U62" s="13">
        <f>T62/$D$62</f>
        <v/>
      </c>
      <c r="V62" s="8" t="inlineStr"/>
    </row>
    <row r="63">
      <c r="A63" s="7" t="n">
        <v>59</v>
      </c>
      <c r="B63" s="8" t="inlineStr">
        <is>
          <t>Se.Duduk (Eco Terraces)</t>
        </is>
      </c>
      <c r="C63" s="9" t="n">
        <v>45590</v>
      </c>
      <c r="D63" s="10" t="n">
        <v>1220</v>
      </c>
      <c r="E63" s="7" t="inlineStr">
        <is>
          <t>30561-1</t>
        </is>
      </c>
      <c r="F63" s="8" t="inlineStr">
        <is>
          <t>ECO TERRACES SDN. BHD.</t>
        </is>
      </c>
      <c r="G63" s="10" t="n"/>
      <c r="H63" s="10" t="n">
        <v>690</v>
      </c>
      <c r="I63" s="11">
        <f>H63/$D$63</f>
        <v/>
      </c>
      <c r="J63" s="10">
        <f>K63-H63</f>
        <v/>
      </c>
      <c r="K63" s="10" t="n">
        <v>693</v>
      </c>
      <c r="L63" s="11">
        <f>K63/$D$63</f>
        <v/>
      </c>
      <c r="M63" s="10">
        <f>N63-K63</f>
        <v/>
      </c>
      <c r="N63" s="10" t="n">
        <v>701</v>
      </c>
      <c r="O63" s="11">
        <f>N63/$D$63</f>
        <v/>
      </c>
      <c r="P63" s="10">
        <f>Q63-N63</f>
        <v/>
      </c>
      <c r="Q63" s="10" t="n">
        <v>710</v>
      </c>
      <c r="R63" s="11">
        <f>Q63/$D$63</f>
        <v/>
      </c>
      <c r="S63" s="12">
        <f>T63-Q63</f>
        <v/>
      </c>
      <c r="T63" s="12" t="n">
        <v>711</v>
      </c>
      <c r="U63" s="13">
        <f>T63/$D$63</f>
        <v/>
      </c>
      <c r="V63" s="8" t="inlineStr">
        <is>
          <t>Latest sales - Block A: 197 units, Block B: 187 units, Block C: 213 units, Block D: 91 units, Block E: 23 units</t>
        </is>
      </c>
    </row>
    <row r="64">
      <c r="A64" s="7" t="n">
        <v>60</v>
      </c>
      <c r="B64" s="8" t="inlineStr">
        <is>
          <t>Eco Bloom @ Eco Meadows</t>
        </is>
      </c>
      <c r="C64" s="9" t="n">
        <v>42651</v>
      </c>
      <c r="D64" s="10" t="n">
        <v>490</v>
      </c>
      <c r="E64" s="7" t="inlineStr">
        <is>
          <t>14518-1</t>
        </is>
      </c>
      <c r="F64" s="8" t="inlineStr">
        <is>
          <t>ECO MEADOWS SDN. BHD.</t>
        </is>
      </c>
      <c r="G64" s="10" t="n"/>
      <c r="H64" s="10" t="n">
        <v>273</v>
      </c>
      <c r="I64" s="11">
        <f>H64/$D$64</f>
        <v/>
      </c>
      <c r="J64" s="10">
        <f>K64-H64</f>
        <v/>
      </c>
      <c r="K64" s="10" t="n">
        <v>273</v>
      </c>
      <c r="L64" s="11">
        <f>K64/$D$64</f>
        <v/>
      </c>
      <c r="M64" s="10">
        <f>N64-K64</f>
        <v/>
      </c>
      <c r="N64" s="10" t="n">
        <v>273</v>
      </c>
      <c r="O64" s="11">
        <f>N64/$D$64</f>
        <v/>
      </c>
      <c r="P64" s="10">
        <f>Q64-N64</f>
        <v/>
      </c>
      <c r="Q64" s="10" t="n">
        <v>273</v>
      </c>
      <c r="R64" s="11">
        <f>Q64/$D$64</f>
        <v/>
      </c>
      <c r="S64" s="12">
        <f>T64-Q64</f>
        <v/>
      </c>
      <c r="T64" s="12" t="n">
        <v>273</v>
      </c>
      <c r="U64" s="13">
        <f>T64/$D$64</f>
        <v/>
      </c>
      <c r="V64" s="8" t="inlineStr"/>
    </row>
    <row r="65">
      <c r="A65" s="7" t="n">
        <v>61</v>
      </c>
      <c r="B65" s="8" t="inlineStr">
        <is>
          <t>Bukit Bintang City Centre (Lucentia)</t>
        </is>
      </c>
      <c r="C65" s="9" t="n">
        <v>42642</v>
      </c>
      <c r="D65" s="10" t="n">
        <v>668</v>
      </c>
      <c r="E65" s="7" t="inlineStr">
        <is>
          <t>14510-1</t>
        </is>
      </c>
      <c r="F65" s="8" t="inlineStr">
        <is>
          <t>BBCC DEVELOPMENT SDN. BHD.</t>
        </is>
      </c>
      <c r="G65" s="10" t="n"/>
      <c r="H65" s="10" t="n">
        <v>626</v>
      </c>
      <c r="I65" s="11">
        <f>H65/$D$65</f>
        <v/>
      </c>
      <c r="J65" s="10">
        <f>K65-H65</f>
        <v/>
      </c>
      <c r="K65" s="10" t="n">
        <v>626</v>
      </c>
      <c r="L65" s="11">
        <f>K65/$D$65</f>
        <v/>
      </c>
      <c r="M65" s="10">
        <f>N65-K65</f>
        <v/>
      </c>
      <c r="N65" s="10" t="n">
        <v>626</v>
      </c>
      <c r="O65" s="11">
        <f>N65/$D$65</f>
        <v/>
      </c>
      <c r="P65" s="10">
        <f>Q65-N65</f>
        <v/>
      </c>
      <c r="Q65" s="10" t="n">
        <v>626</v>
      </c>
      <c r="R65" s="11">
        <f>Q65/$D$65</f>
        <v/>
      </c>
      <c r="S65" s="12">
        <f>T65-Q65</f>
        <v/>
      </c>
      <c r="T65" s="12" t="n">
        <v>626</v>
      </c>
      <c r="U65" s="13">
        <f>T65/$D$65</f>
        <v/>
      </c>
      <c r="V65" s="8" t="inlineStr">
        <is>
          <t>Latest sales - Block T1: 372 units, Block T2: 254 units</t>
        </is>
      </c>
    </row>
    <row r="66">
      <c r="A66" s="7" t="n">
        <v>62</v>
      </c>
      <c r="B66" s="8" t="inlineStr">
        <is>
          <t>Ekotropika 3</t>
        </is>
      </c>
      <c r="C66" s="9" t="n">
        <v>43616</v>
      </c>
      <c r="D66" s="10" t="n">
        <v>300</v>
      </c>
      <c r="E66" s="7" t="inlineStr">
        <is>
          <t>6443-17</t>
        </is>
      </c>
      <c r="F66" s="8" t="inlineStr"/>
      <c r="G66" s="10" t="n"/>
      <c r="H66" s="10" t="n">
        <v>300</v>
      </c>
      <c r="I66" s="11">
        <f>H66/$D$66</f>
        <v/>
      </c>
      <c r="J66" s="10">
        <f>K66-H66</f>
        <v/>
      </c>
      <c r="K66" s="10" t="n">
        <v>300</v>
      </c>
      <c r="L66" s="11">
        <f>K66/$D$66</f>
        <v/>
      </c>
      <c r="M66" s="10">
        <f>N66-K66</f>
        <v/>
      </c>
      <c r="N66" s="10" t="n">
        <v>300</v>
      </c>
      <c r="O66" s="11">
        <f>N66/$D$66</f>
        <v/>
      </c>
      <c r="P66" s="10">
        <f>Q66-N66</f>
        <v/>
      </c>
      <c r="Q66" s="10" t="n">
        <v>300</v>
      </c>
      <c r="R66" s="11">
        <f>Q66/$D$66</f>
        <v/>
      </c>
      <c r="S66" s="12">
        <f>T66-Q66</f>
        <v/>
      </c>
      <c r="T66" s="12" t="n">
        <v>300</v>
      </c>
      <c r="U66" s="13">
        <f>T66/$D$66</f>
        <v/>
      </c>
      <c r="V66" s="8" t="inlineStr"/>
    </row>
    <row r="67">
      <c r="A67" s="7" t="n">
        <v>63</v>
      </c>
      <c r="B67" s="8" t="inlineStr">
        <is>
          <t>Ekotropika 3</t>
        </is>
      </c>
      <c r="C67" s="9" t="n">
        <v>44735</v>
      </c>
      <c r="D67" s="10" t="n">
        <v>112</v>
      </c>
      <c r="E67" s="7" t="inlineStr">
        <is>
          <t>6443-18</t>
        </is>
      </c>
      <c r="F67" s="8" t="inlineStr"/>
      <c r="G67" s="10" t="n"/>
      <c r="H67" s="10" t="n">
        <v>112</v>
      </c>
      <c r="I67" s="11">
        <f>H67/$D$67</f>
        <v/>
      </c>
      <c r="J67" s="10">
        <f>K67-H67</f>
        <v/>
      </c>
      <c r="K67" s="10" t="n">
        <v>112</v>
      </c>
      <c r="L67" s="11">
        <f>K67/$D$67</f>
        <v/>
      </c>
      <c r="M67" s="10">
        <f>N67-K67</f>
        <v/>
      </c>
      <c r="N67" s="10" t="n">
        <v>112</v>
      </c>
      <c r="O67" s="11">
        <f>N67/$D$67</f>
        <v/>
      </c>
      <c r="P67" s="10">
        <f>Q67-N67</f>
        <v/>
      </c>
      <c r="Q67" s="10" t="n">
        <v>112</v>
      </c>
      <c r="R67" s="11">
        <f>Q67/$D$67</f>
        <v/>
      </c>
      <c r="S67" s="12">
        <f>T67-Q67</f>
        <v/>
      </c>
      <c r="T67" s="12" t="n">
        <v>112</v>
      </c>
      <c r="U67" s="13">
        <f>T67/$D$67</f>
        <v/>
      </c>
      <c r="V67" s="8" t="inlineStr"/>
    </row>
    <row r="68">
      <c r="A68" s="7" t="n">
        <v>64</v>
      </c>
      <c r="B68" s="8" t="inlineStr">
        <is>
          <t>Ekotropika 3</t>
        </is>
      </c>
      <c r="C68" s="9" t="n">
        <v>44817</v>
      </c>
      <c r="D68" s="10" t="n">
        <v>204</v>
      </c>
      <c r="E68" s="7" t="inlineStr">
        <is>
          <t>6443-19</t>
        </is>
      </c>
      <c r="F68" s="8" t="inlineStr"/>
      <c r="G68" s="10" t="n"/>
      <c r="H68" s="10" t="n">
        <v>204</v>
      </c>
      <c r="I68" s="11">
        <f>H68/$D$68</f>
        <v/>
      </c>
      <c r="J68" s="10">
        <f>K68-H68</f>
        <v/>
      </c>
      <c r="K68" s="10" t="n">
        <v>204</v>
      </c>
      <c r="L68" s="11">
        <f>K68/$D$68</f>
        <v/>
      </c>
      <c r="M68" s="10">
        <f>N68-K68</f>
        <v/>
      </c>
      <c r="N68" s="10" t="n">
        <v>204</v>
      </c>
      <c r="O68" s="11">
        <f>N68/$D$68</f>
        <v/>
      </c>
      <c r="P68" s="10">
        <f>Q68-N68</f>
        <v/>
      </c>
      <c r="Q68" s="10" t="n">
        <v>204</v>
      </c>
      <c r="R68" s="11">
        <f>Q68/$D$68</f>
        <v/>
      </c>
      <c r="S68" s="12">
        <f>T68-Q68</f>
        <v/>
      </c>
      <c r="T68" s="12" t="n">
        <v>204</v>
      </c>
      <c r="U68" s="13">
        <f>T68/$D$68</f>
        <v/>
      </c>
      <c r="V68" s="8" t="inlineStr"/>
    </row>
    <row r="69">
      <c r="A69" s="7" t="n">
        <v>65</v>
      </c>
      <c r="B69" s="8" t="inlineStr">
        <is>
          <t>Eco Ardence</t>
        </is>
      </c>
      <c r="C69" s="9" t="n">
        <v>43000</v>
      </c>
      <c r="D69" s="10" t="n">
        <v>259</v>
      </c>
      <c r="E69" s="7" t="inlineStr">
        <is>
          <t>14504-2</t>
        </is>
      </c>
      <c r="F69" s="8" t="inlineStr">
        <is>
          <t>ECO ARDENCE SDN. BHD.</t>
        </is>
      </c>
      <c r="G69" s="10" t="n"/>
      <c r="H69" s="10" t="n">
        <v>259</v>
      </c>
      <c r="I69" s="11">
        <f>H69/$D$69</f>
        <v/>
      </c>
      <c r="J69" s="10">
        <f>K69-H69</f>
        <v/>
      </c>
      <c r="K69" s="10" t="n">
        <v>259</v>
      </c>
      <c r="L69" s="11">
        <f>K69/$D$69</f>
        <v/>
      </c>
      <c r="M69" s="10">
        <f>N69-K69</f>
        <v/>
      </c>
      <c r="N69" s="10" t="n">
        <v>259</v>
      </c>
      <c r="O69" s="11">
        <f>N69/$D$69</f>
        <v/>
      </c>
      <c r="P69" s="10">
        <f>Q69-N69</f>
        <v/>
      </c>
      <c r="Q69" s="10" t="n">
        <v>259</v>
      </c>
      <c r="R69" s="11">
        <f>Q69/$D$69</f>
        <v/>
      </c>
      <c r="S69" s="12">
        <f>T69-Q69</f>
        <v/>
      </c>
      <c r="T69" s="12" t="n">
        <v>259</v>
      </c>
      <c r="U69" s="13">
        <f>T69/$D$69</f>
        <v/>
      </c>
      <c r="V69" s="8" t="inlineStr"/>
    </row>
    <row r="70">
      <c r="A70" s="7" t="n">
        <v>66</v>
      </c>
      <c r="B70" s="8" t="inlineStr">
        <is>
          <t>Nara @ Eco Ardence</t>
        </is>
      </c>
      <c r="C70" s="9" t="n">
        <v>43399</v>
      </c>
      <c r="D70" s="10" t="n">
        <v>308</v>
      </c>
      <c r="E70" s="7" t="inlineStr">
        <is>
          <t>14504-3</t>
        </is>
      </c>
      <c r="F70" s="8" t="inlineStr">
        <is>
          <t>ECO ARDENCE SDN. BHD.</t>
        </is>
      </c>
      <c r="G70" s="10" t="n"/>
      <c r="H70" s="10" t="n">
        <v>308</v>
      </c>
      <c r="I70" s="11">
        <f>H70/$D$70</f>
        <v/>
      </c>
      <c r="J70" s="10">
        <f>K70-H70</f>
        <v/>
      </c>
      <c r="K70" s="10" t="n">
        <v>308</v>
      </c>
      <c r="L70" s="11">
        <f>K70/$D$70</f>
        <v/>
      </c>
      <c r="M70" s="10">
        <f>N70-K70</f>
        <v/>
      </c>
      <c r="N70" s="10" t="n">
        <v>308</v>
      </c>
      <c r="O70" s="11">
        <f>N70/$D$70</f>
        <v/>
      </c>
      <c r="P70" s="10">
        <f>Q70-N70</f>
        <v/>
      </c>
      <c r="Q70" s="10" t="n">
        <v>308</v>
      </c>
      <c r="R70" s="11">
        <f>Q70/$D$70</f>
        <v/>
      </c>
      <c r="S70" s="12">
        <f>T70-Q70</f>
        <v/>
      </c>
      <c r="T70" s="12" t="n">
        <v>308</v>
      </c>
      <c r="U70" s="13">
        <f>T70/$D$70</f>
        <v/>
      </c>
      <c r="V70" s="8" t="inlineStr"/>
    </row>
    <row r="71">
      <c r="A71" s="7" t="n">
        <v>67</v>
      </c>
      <c r="B71" s="8" t="inlineStr">
        <is>
          <t>Cora @ Eco Ardence</t>
        </is>
      </c>
      <c r="C71" s="9" t="n">
        <v>43692</v>
      </c>
      <c r="D71" s="10" t="n">
        <v>250</v>
      </c>
      <c r="E71" s="7" t="inlineStr">
        <is>
          <t>14504-4</t>
        </is>
      </c>
      <c r="F71" s="8" t="inlineStr">
        <is>
          <t>ECO ARDENCE SDN. BHD.</t>
        </is>
      </c>
      <c r="G71" s="10" t="n"/>
      <c r="H71" s="10" t="n">
        <v>249</v>
      </c>
      <c r="I71" s="11">
        <f>H71/$D$71</f>
        <v/>
      </c>
      <c r="J71" s="10">
        <f>K71-H71</f>
        <v/>
      </c>
      <c r="K71" s="10" t="n">
        <v>249</v>
      </c>
      <c r="L71" s="11">
        <f>K71/$D$71</f>
        <v/>
      </c>
      <c r="M71" s="10">
        <f>N71-K71</f>
        <v/>
      </c>
      <c r="N71" s="10" t="n">
        <v>249</v>
      </c>
      <c r="O71" s="11">
        <f>N71/$D$71</f>
        <v/>
      </c>
      <c r="P71" s="10">
        <f>Q71-N71</f>
        <v/>
      </c>
      <c r="Q71" s="10" t="n">
        <v>249</v>
      </c>
      <c r="R71" s="11">
        <f>Q71/$D$71</f>
        <v/>
      </c>
      <c r="S71" s="12">
        <f>T71-Q71</f>
        <v/>
      </c>
      <c r="T71" s="12" t="n">
        <v>249</v>
      </c>
      <c r="U71" s="13">
        <f>T71/$D$71</f>
        <v/>
      </c>
      <c r="V71" s="8" t="inlineStr"/>
    </row>
    <row r="72">
      <c r="A72" s="7" t="n">
        <v>68</v>
      </c>
      <c r="B72" s="8" t="inlineStr">
        <is>
          <t>Eco Horizon</t>
        </is>
      </c>
      <c r="C72" s="9" t="n">
        <v>43000</v>
      </c>
      <c r="D72" s="10" t="n">
        <v>280</v>
      </c>
      <c r="E72" s="7" t="inlineStr">
        <is>
          <t>19152-1</t>
        </is>
      </c>
      <c r="F72" s="8" t="inlineStr"/>
      <c r="G72" s="10" t="n"/>
      <c r="H72" s="10" t="n">
        <v>264</v>
      </c>
      <c r="I72" s="11">
        <f>H72/$D$72</f>
        <v/>
      </c>
      <c r="J72" s="10">
        <f>K72-H72</f>
        <v/>
      </c>
      <c r="K72" s="10" t="n">
        <v>264</v>
      </c>
      <c r="L72" s="11">
        <f>K72/$D$72</f>
        <v/>
      </c>
      <c r="M72" s="10">
        <f>N72-K72</f>
        <v/>
      </c>
      <c r="N72" s="10" t="n">
        <v>264</v>
      </c>
      <c r="O72" s="11">
        <f>N72/$D$72</f>
        <v/>
      </c>
      <c r="P72" s="10">
        <f>Q72-N72</f>
        <v/>
      </c>
      <c r="Q72" s="10" t="n">
        <v>264</v>
      </c>
      <c r="R72" s="11">
        <f>Q72/$D$72</f>
        <v/>
      </c>
      <c r="S72" s="12">
        <f>T72-Q72</f>
        <v/>
      </c>
      <c r="T72" s="12" t="n">
        <v>264</v>
      </c>
      <c r="U72" s="13">
        <f>T72/$D$72</f>
        <v/>
      </c>
      <c r="V72" s="8" t="inlineStr"/>
    </row>
    <row r="73">
      <c r="A73" s="7" t="n">
        <v>69</v>
      </c>
      <c r="B73" s="8" t="inlineStr">
        <is>
          <t>Eco Horizon</t>
        </is>
      </c>
      <c r="C73" s="9" t="n">
        <v>43000</v>
      </c>
      <c r="D73" s="10" t="n">
        <v>424</v>
      </c>
      <c r="E73" s="7" t="inlineStr">
        <is>
          <t>19152-2</t>
        </is>
      </c>
      <c r="F73" s="8" t="inlineStr"/>
      <c r="G73" s="10" t="n"/>
      <c r="H73" s="10" t="n">
        <v>412</v>
      </c>
      <c r="I73" s="11">
        <f>H73/$D$73</f>
        <v/>
      </c>
      <c r="J73" s="10">
        <f>K73-H73</f>
        <v/>
      </c>
      <c r="K73" s="10" t="n">
        <v>412</v>
      </c>
      <c r="L73" s="11">
        <f>K73/$D$73</f>
        <v/>
      </c>
      <c r="M73" s="10">
        <f>N73-K73</f>
        <v/>
      </c>
      <c r="N73" s="10" t="n">
        <v>412</v>
      </c>
      <c r="O73" s="11">
        <f>N73/$D$73</f>
        <v/>
      </c>
      <c r="P73" s="10">
        <f>Q73-N73</f>
        <v/>
      </c>
      <c r="Q73" s="10" t="n">
        <v>412</v>
      </c>
      <c r="R73" s="11">
        <f>Q73/$D$73</f>
        <v/>
      </c>
      <c r="S73" s="12">
        <f>T73-Q73</f>
        <v/>
      </c>
      <c r="T73" s="12" t="n">
        <v>412</v>
      </c>
      <c r="U73" s="13">
        <f>T73/$D$73</f>
        <v/>
      </c>
      <c r="V73" s="8" t="inlineStr"/>
    </row>
    <row r="74">
      <c r="A74" s="7" t="n">
        <v>70</v>
      </c>
      <c r="B74" s="8" t="inlineStr">
        <is>
          <t>Eco Horizon</t>
        </is>
      </c>
      <c r="C74" s="9" t="n">
        <v>43536</v>
      </c>
      <c r="D74" s="10" t="n">
        <v>241</v>
      </c>
      <c r="E74" s="7" t="inlineStr">
        <is>
          <t>19152-3</t>
        </is>
      </c>
      <c r="F74" s="8" t="inlineStr"/>
      <c r="G74" s="10" t="n"/>
      <c r="H74" s="10" t="n">
        <v>0</v>
      </c>
      <c r="I74" s="11">
        <f>H74/$D$74</f>
        <v/>
      </c>
      <c r="J74" s="10">
        <f>K74-H74</f>
        <v/>
      </c>
      <c r="K74" s="10" t="n">
        <v>0</v>
      </c>
      <c r="L74" s="11">
        <f>K74/$D$74</f>
        <v/>
      </c>
      <c r="M74" s="10">
        <f>N74-K74</f>
        <v/>
      </c>
      <c r="N74" s="10" t="n">
        <v>0</v>
      </c>
      <c r="O74" s="11">
        <f>N74/$D$74</f>
        <v/>
      </c>
      <c r="P74" s="10">
        <f>Q74-N74</f>
        <v/>
      </c>
      <c r="Q74" s="10" t="n">
        <v>0</v>
      </c>
      <c r="R74" s="11">
        <f>Q74/$D$74</f>
        <v/>
      </c>
      <c r="S74" s="12">
        <f>T74-Q74</f>
        <v/>
      </c>
      <c r="T74" s="12" t="n">
        <v>0</v>
      </c>
      <c r="U74" s="13">
        <f>T74/$D$74</f>
        <v/>
      </c>
      <c r="V74" s="8" t="inlineStr"/>
    </row>
    <row r="75">
      <c r="A75" s="7" t="n">
        <v>71</v>
      </c>
      <c r="B75" s="8" t="inlineStr">
        <is>
          <t>Eco Horizon</t>
        </is>
      </c>
      <c r="C75" s="9" t="n">
        <v>44233</v>
      </c>
      <c r="D75" s="10" t="n">
        <v>224</v>
      </c>
      <c r="E75" s="7" t="inlineStr">
        <is>
          <t>19152-4</t>
        </is>
      </c>
      <c r="F75" s="8" t="inlineStr"/>
      <c r="G75" s="10" t="n"/>
      <c r="H75" s="10" t="n">
        <v>224</v>
      </c>
      <c r="I75" s="11">
        <f>H75/$D$75</f>
        <v/>
      </c>
      <c r="J75" s="10">
        <f>K75-H75</f>
        <v/>
      </c>
      <c r="K75" s="10" t="n">
        <v>224</v>
      </c>
      <c r="L75" s="11">
        <f>K75/$D$75</f>
        <v/>
      </c>
      <c r="M75" s="10">
        <f>N75-K75</f>
        <v/>
      </c>
      <c r="N75" s="10" t="n">
        <v>224</v>
      </c>
      <c r="O75" s="11">
        <f>N75/$D$75</f>
        <v/>
      </c>
      <c r="P75" s="10">
        <f>Q75-N75</f>
        <v/>
      </c>
      <c r="Q75" s="10" t="n">
        <v>224</v>
      </c>
      <c r="R75" s="11">
        <f>Q75/$D$75</f>
        <v/>
      </c>
      <c r="S75" s="12">
        <f>T75-Q75</f>
        <v/>
      </c>
      <c r="T75" s="12" t="n">
        <v>224</v>
      </c>
      <c r="U75" s="13">
        <f>T75/$D$75</f>
        <v/>
      </c>
      <c r="V75" s="8" t="inlineStr"/>
    </row>
    <row r="76">
      <c r="A76" s="7" t="n">
        <v>72</v>
      </c>
      <c r="B76" s="8" t="inlineStr">
        <is>
          <t>Eco Horizon</t>
        </is>
      </c>
      <c r="C76" s="9" t="n">
        <v>44492</v>
      </c>
      <c r="D76" s="10" t="n">
        <v>181</v>
      </c>
      <c r="E76" s="7" t="inlineStr">
        <is>
          <t>19152-5</t>
        </is>
      </c>
      <c r="F76" s="8" t="inlineStr"/>
      <c r="G76" s="10" t="n"/>
      <c r="H76" s="10" t="n">
        <v>164</v>
      </c>
      <c r="I76" s="11">
        <f>H76/$D$76</f>
        <v/>
      </c>
      <c r="J76" s="10">
        <f>K76-H76</f>
        <v/>
      </c>
      <c r="K76" s="10" t="n">
        <v>164</v>
      </c>
      <c r="L76" s="11">
        <f>K76/$D$76</f>
        <v/>
      </c>
      <c r="M76" s="10">
        <f>N76-K76</f>
        <v/>
      </c>
      <c r="N76" s="10" t="n">
        <v>164</v>
      </c>
      <c r="O76" s="11">
        <f>N76/$D$76</f>
        <v/>
      </c>
      <c r="P76" s="10">
        <f>Q76-N76</f>
        <v/>
      </c>
      <c r="Q76" s="10" t="n">
        <v>164</v>
      </c>
      <c r="R76" s="11">
        <f>Q76/$D$76</f>
        <v/>
      </c>
      <c r="S76" s="12">
        <f>T76-Q76</f>
        <v/>
      </c>
      <c r="T76" s="12" t="n">
        <v>164</v>
      </c>
      <c r="U76" s="13">
        <f>T76/$D$76</f>
        <v/>
      </c>
      <c r="V76" s="8" t="inlineStr"/>
    </row>
    <row r="77">
      <c r="A77" s="7" t="n">
        <v>73</v>
      </c>
      <c r="B77" s="8" t="inlineStr">
        <is>
          <t>Eco Horizon 2</t>
        </is>
      </c>
      <c r="C77" s="9" t="n">
        <v>44574</v>
      </c>
      <c r="D77" s="10" t="n">
        <v>180</v>
      </c>
      <c r="E77" s="7" t="inlineStr">
        <is>
          <t>19152-6</t>
        </is>
      </c>
      <c r="F77" s="8" t="inlineStr"/>
      <c r="G77" s="10" t="n"/>
      <c r="H77" s="10" t="n">
        <v>180</v>
      </c>
      <c r="I77" s="11">
        <f>H77/$D$77</f>
        <v/>
      </c>
      <c r="J77" s="10">
        <f>K77-H77</f>
        <v/>
      </c>
      <c r="K77" s="10" t="n">
        <v>180</v>
      </c>
      <c r="L77" s="11">
        <f>K77/$D$77</f>
        <v/>
      </c>
      <c r="M77" s="10">
        <f>N77-K77</f>
        <v/>
      </c>
      <c r="N77" s="10" t="n">
        <v>180</v>
      </c>
      <c r="O77" s="11">
        <f>N77/$D$77</f>
        <v/>
      </c>
      <c r="P77" s="10">
        <f>Q77-N77</f>
        <v/>
      </c>
      <c r="Q77" s="10" t="n">
        <v>180</v>
      </c>
      <c r="R77" s="11">
        <f>Q77/$D$77</f>
        <v/>
      </c>
      <c r="S77" s="12">
        <f>T77-Q77</f>
        <v/>
      </c>
      <c r="T77" s="12" t="n">
        <v>180</v>
      </c>
      <c r="U77" s="13">
        <f>T77/$D$77</f>
        <v/>
      </c>
      <c r="V77" s="8" t="inlineStr"/>
    </row>
    <row r="78">
      <c r="A78" s="7" t="n">
        <v>74</v>
      </c>
      <c r="B78" s="8" t="inlineStr">
        <is>
          <t>Eco Horizon 2</t>
        </is>
      </c>
      <c r="C78" s="9" t="n">
        <v>44719</v>
      </c>
      <c r="D78" s="10" t="n">
        <v>235</v>
      </c>
      <c r="E78" s="7" t="inlineStr">
        <is>
          <t>19152-7</t>
        </is>
      </c>
      <c r="F78" s="8" t="inlineStr"/>
      <c r="G78" s="10" t="n"/>
      <c r="H78" s="10" t="n">
        <v>235</v>
      </c>
      <c r="I78" s="11">
        <f>H78/$D$78</f>
        <v/>
      </c>
      <c r="J78" s="10">
        <f>K78-H78</f>
        <v/>
      </c>
      <c r="K78" s="10" t="n">
        <v>235</v>
      </c>
      <c r="L78" s="11">
        <f>K78/$D$78</f>
        <v/>
      </c>
      <c r="M78" s="10">
        <f>N78-K78</f>
        <v/>
      </c>
      <c r="N78" s="10" t="n">
        <v>235</v>
      </c>
      <c r="O78" s="11">
        <f>N78/$D$78</f>
        <v/>
      </c>
      <c r="P78" s="10">
        <f>Q78-N78</f>
        <v/>
      </c>
      <c r="Q78" s="10" t="n">
        <v>235</v>
      </c>
      <c r="R78" s="11">
        <f>Q78/$D$78</f>
        <v/>
      </c>
      <c r="S78" s="12">
        <f>T78-Q78</f>
        <v/>
      </c>
      <c r="T78" s="12" t="n">
        <v>235</v>
      </c>
      <c r="U78" s="13">
        <f>T78/$D$78</f>
        <v/>
      </c>
      <c r="V78" s="8" t="inlineStr"/>
    </row>
    <row r="79">
      <c r="A79" s="7" t="n">
        <v>75</v>
      </c>
      <c r="B79" s="8" t="inlineStr">
        <is>
          <t>Eco Horizon</t>
        </is>
      </c>
      <c r="C79" s="9" t="n">
        <v>44867</v>
      </c>
      <c r="D79" s="10" t="n">
        <v>114</v>
      </c>
      <c r="E79" s="7" t="inlineStr">
        <is>
          <t>19152-8</t>
        </is>
      </c>
      <c r="F79" s="8" t="inlineStr"/>
      <c r="G79" s="10" t="n"/>
      <c r="H79" s="10" t="n">
        <v>114</v>
      </c>
      <c r="I79" s="11">
        <f>H79/$D$79</f>
        <v/>
      </c>
      <c r="J79" s="10">
        <f>K79-H79</f>
        <v/>
      </c>
      <c r="K79" s="10" t="n">
        <v>114</v>
      </c>
      <c r="L79" s="11">
        <f>K79/$D$79</f>
        <v/>
      </c>
      <c r="M79" s="10">
        <f>N79-K79</f>
        <v/>
      </c>
      <c r="N79" s="10" t="n">
        <v>114</v>
      </c>
      <c r="O79" s="11">
        <f>N79/$D$79</f>
        <v/>
      </c>
      <c r="P79" s="10">
        <f>Q79-N79</f>
        <v/>
      </c>
      <c r="Q79" s="10" t="n">
        <v>114</v>
      </c>
      <c r="R79" s="11">
        <f>Q79/$D$79</f>
        <v/>
      </c>
      <c r="S79" s="12">
        <f>T79-Q79</f>
        <v/>
      </c>
      <c r="T79" s="12" t="n">
        <v>114</v>
      </c>
      <c r="U79" s="13">
        <f>T79/$D$79</f>
        <v/>
      </c>
      <c r="V79" s="8" t="inlineStr"/>
    </row>
    <row r="80">
      <c r="A80" s="7" t="n">
        <v>76</v>
      </c>
      <c r="B80" s="8" t="inlineStr">
        <is>
          <t>Hi.Jau West Precinct 1 (Eco Botanic)</t>
        </is>
      </c>
      <c r="C80" s="9" t="n">
        <v>45898</v>
      </c>
      <c r="D80" s="10" t="n">
        <v>721</v>
      </c>
      <c r="E80" s="7" t="inlineStr">
        <is>
          <t>31135-1</t>
        </is>
      </c>
      <c r="F80" s="8" t="inlineStr">
        <is>
          <t>ECO BOTANIC 3 SDN. BHD.</t>
        </is>
      </c>
      <c r="G80" s="10" t="n"/>
      <c r="H80" s="10" t="n">
        <v>357</v>
      </c>
      <c r="I80" s="11">
        <f>H80/$D$80</f>
        <v/>
      </c>
      <c r="J80" s="10">
        <f>K80-H80</f>
        <v/>
      </c>
      <c r="K80" s="10" t="n">
        <v>363</v>
      </c>
      <c r="L80" s="11">
        <f>K80/$D$80</f>
        <v/>
      </c>
      <c r="M80" s="10">
        <f>N80-K80</f>
        <v/>
      </c>
      <c r="N80" s="10" t="n">
        <v>371</v>
      </c>
      <c r="O80" s="11">
        <f>N80/$D$80</f>
        <v/>
      </c>
      <c r="P80" s="10">
        <f>Q80-N80</f>
        <v/>
      </c>
      <c r="Q80" s="10" t="n">
        <v>376</v>
      </c>
      <c r="R80" s="11">
        <f>Q80/$D$80</f>
        <v/>
      </c>
      <c r="S80" s="12">
        <f>T80-Q80</f>
        <v/>
      </c>
      <c r="T80" s="12" t="n">
        <v>379</v>
      </c>
      <c r="U80" s="13">
        <f>T80/$D$80</f>
        <v/>
      </c>
      <c r="V80" s="8" t="inlineStr"/>
    </row>
    <row r="81">
      <c r="A81" s="7" t="n">
        <v>77</v>
      </c>
      <c r="B81" s="8" t="inlineStr">
        <is>
          <t>Hi.Jau West Precinct 2 (Eco Botanic)</t>
        </is>
      </c>
      <c r="C81" s="9" t="n">
        <v>46015</v>
      </c>
      <c r="D81" s="10" t="n">
        <v>766</v>
      </c>
      <c r="E81" s="7" t="inlineStr">
        <is>
          <t>31135-2,31135-3,31135-4,31135-5,31135-6,31135-7</t>
        </is>
      </c>
      <c r="F81" s="8" t="inlineStr">
        <is>
          <t>ECO BOTANIC 3 SDN. BHD.</t>
        </is>
      </c>
      <c r="G81" s="10" t="n"/>
      <c r="H81" s="10" t="n">
        <v>490</v>
      </c>
      <c r="I81" s="11">
        <f>H81/$D$81</f>
        <v/>
      </c>
      <c r="J81" s="10">
        <f>K81-H81</f>
        <v/>
      </c>
      <c r="K81" s="10" t="n">
        <v>491</v>
      </c>
      <c r="L81" s="11">
        <f>K81/$D$81</f>
        <v/>
      </c>
      <c r="M81" s="10">
        <f>N81-K81</f>
        <v/>
      </c>
      <c r="N81" s="10" t="n">
        <v>491</v>
      </c>
      <c r="O81" s="11">
        <f>N81/$D$81</f>
        <v/>
      </c>
      <c r="P81" s="10">
        <f>Q81-N81</f>
        <v/>
      </c>
      <c r="Q81" s="10" t="n">
        <v>491</v>
      </c>
      <c r="R81" s="11">
        <f>Q81/$D$81</f>
        <v/>
      </c>
      <c r="S81" s="12">
        <f>T81-Q81</f>
        <v/>
      </c>
      <c r="T81" s="12" t="n">
        <v>491</v>
      </c>
      <c r="U81" s="13">
        <f>T81/$D$81</f>
        <v/>
      </c>
      <c r="V81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Y2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(EXSIM)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Branniganz Suites</t>
        </is>
      </c>
      <c r="C5" s="9" t="n">
        <v>45518</v>
      </c>
      <c r="D5" s="10" t="n">
        <v>269</v>
      </c>
      <c r="E5" s="7" t="inlineStr">
        <is>
          <t>30784-1</t>
        </is>
      </c>
      <c r="F5" s="8" t="inlineStr">
        <is>
          <t>LEMBARAN BERUNTUNG SDN. BHD.</t>
        </is>
      </c>
      <c r="G5" s="10" t="n"/>
      <c r="H5" s="10" t="n">
        <v>268</v>
      </c>
      <c r="I5" s="11">
        <f>H5/$D$5</f>
        <v/>
      </c>
      <c r="J5" s="10">
        <f>K5-H5</f>
        <v/>
      </c>
      <c r="K5" s="10" t="n">
        <v>268</v>
      </c>
      <c r="L5" s="11">
        <f>K5/$D$5</f>
        <v/>
      </c>
      <c r="M5" s="10">
        <f>N5-K5</f>
        <v/>
      </c>
      <c r="N5" s="10" t="n">
        <v>268</v>
      </c>
      <c r="O5" s="11">
        <f>N5/$D$5</f>
        <v/>
      </c>
      <c r="P5" s="10">
        <f>Q5-N5</f>
        <v/>
      </c>
      <c r="Q5" s="10" t="n">
        <v>268</v>
      </c>
      <c r="R5" s="11">
        <f>Q5/$D$5</f>
        <v/>
      </c>
      <c r="S5" s="10">
        <f>T5-Q5</f>
        <v/>
      </c>
      <c r="T5" s="10" t="n">
        <v>268</v>
      </c>
      <c r="U5" s="11">
        <f>T5/$D$5</f>
        <v/>
      </c>
      <c r="V5" s="12">
        <f>W5-T5</f>
        <v/>
      </c>
      <c r="W5" s="12" t="n">
        <v>268</v>
      </c>
      <c r="X5" s="13">
        <f>W5/$D$5</f>
        <v/>
      </c>
      <c r="Y5" s="8" t="inlineStr">
        <is>
          <t>Latest sales - Block B: 268 units</t>
        </is>
      </c>
    </row>
    <row r="6">
      <c r="A6" s="7" t="n">
        <v>2</v>
      </c>
      <c r="B6" s="8" t="inlineStr">
        <is>
          <t>D'Clover Residences</t>
        </is>
      </c>
      <c r="C6" s="9" t="n">
        <v>44946</v>
      </c>
      <c r="D6" s="10" t="n">
        <v>593</v>
      </c>
      <c r="E6" s="7" t="inlineStr">
        <is>
          <t>20011-3</t>
        </is>
      </c>
      <c r="F6" s="8" t="inlineStr">
        <is>
          <t>MIGHTYPROP  SDN. BHD.</t>
        </is>
      </c>
      <c r="G6" s="10" t="n"/>
      <c r="H6" s="10" t="n">
        <v>593</v>
      </c>
      <c r="I6" s="11">
        <f>H6/$D$6</f>
        <v/>
      </c>
      <c r="J6" s="10">
        <f>K6-H6</f>
        <v/>
      </c>
      <c r="K6" s="10" t="n">
        <v>593</v>
      </c>
      <c r="L6" s="11">
        <f>K6/$D$6</f>
        <v/>
      </c>
      <c r="M6" s="10">
        <f>N6-K6</f>
        <v/>
      </c>
      <c r="N6" s="10" t="n">
        <v>593</v>
      </c>
      <c r="O6" s="11">
        <f>N6/$D$6</f>
        <v/>
      </c>
      <c r="P6" s="10">
        <f>Q6-N6</f>
        <v/>
      </c>
      <c r="Q6" s="10" t="n">
        <v>593</v>
      </c>
      <c r="R6" s="11">
        <f>Q6/$D$6</f>
        <v/>
      </c>
      <c r="S6" s="10">
        <f>T6-Q6</f>
        <v/>
      </c>
      <c r="T6" s="10" t="n">
        <v>593</v>
      </c>
      <c r="U6" s="11">
        <f>T6/$D$6</f>
        <v/>
      </c>
      <c r="V6" s="12">
        <f>W6-T6</f>
        <v/>
      </c>
      <c r="W6" s="12" t="n">
        <v>593</v>
      </c>
      <c r="X6" s="13">
        <f>W6/$D$6</f>
        <v/>
      </c>
      <c r="Y6" s="8" t="inlineStr">
        <is>
          <t>Latest sales - Block A: 593 units</t>
        </is>
      </c>
    </row>
    <row r="7">
      <c r="A7" s="7" t="n">
        <v>3</v>
      </c>
      <c r="B7" s="8" t="inlineStr">
        <is>
          <t>D'Evia Residences @ Kwasa Damansara</t>
        </is>
      </c>
      <c r="C7" s="9" t="n">
        <v>46177</v>
      </c>
      <c r="D7" s="10" t="n">
        <v>440</v>
      </c>
      <c r="E7" s="7" t="inlineStr">
        <is>
          <t>31064-1</t>
        </is>
      </c>
      <c r="F7" s="8" t="inlineStr">
        <is>
          <t>EXSIM MX4 SDN. BHD.</t>
        </is>
      </c>
      <c r="G7" s="10" t="n"/>
      <c r="H7" s="10" t="n"/>
      <c r="I7" s="11" t="n"/>
      <c r="J7" s="10" t="n"/>
      <c r="K7" s="10" t="n">
        <v>100</v>
      </c>
      <c r="L7" s="11">
        <f>K7/$D$7</f>
        <v/>
      </c>
      <c r="M7" s="10">
        <f>N7-K7</f>
        <v/>
      </c>
      <c r="N7" s="10" t="n">
        <v>143</v>
      </c>
      <c r="O7" s="11">
        <f>N7/$D$7</f>
        <v/>
      </c>
      <c r="P7" s="10">
        <f>Q7-N7</f>
        <v/>
      </c>
      <c r="Q7" s="10" t="n">
        <v>0</v>
      </c>
      <c r="R7" s="11">
        <f>Q7/$D$7</f>
        <v/>
      </c>
      <c r="S7" s="10">
        <f>T7-Q7</f>
        <v/>
      </c>
      <c r="T7" s="10" t="n">
        <v>26</v>
      </c>
      <c r="U7" s="11">
        <f>T7/$D$7</f>
        <v/>
      </c>
      <c r="V7" s="12">
        <f>W7-T7</f>
        <v/>
      </c>
      <c r="W7" s="12" t="n">
        <v>76</v>
      </c>
      <c r="X7" s="13">
        <f>W7/$D$7</f>
        <v/>
      </c>
      <c r="Y7" s="8" t="inlineStr"/>
    </row>
    <row r="8">
      <c r="A8" s="7" t="n">
        <v>4</v>
      </c>
      <c r="B8" s="8" t="inlineStr">
        <is>
          <t>D'Nuri Residences @ Kwasa Damansara</t>
        </is>
      </c>
      <c r="C8" s="9" t="n">
        <v>46261</v>
      </c>
      <c r="D8" s="10" t="n">
        <v>492</v>
      </c>
      <c r="E8" s="7" t="inlineStr">
        <is>
          <t>31064-2</t>
        </is>
      </c>
      <c r="F8" s="8" t="inlineStr">
        <is>
          <t>EXSIM MX4 SDN. BHD.</t>
        </is>
      </c>
      <c r="G8" s="10" t="n"/>
      <c r="H8" s="10" t="n"/>
      <c r="I8" s="11" t="n"/>
      <c r="J8" s="10" t="n"/>
      <c r="K8" s="10" t="n">
        <v>1</v>
      </c>
      <c r="L8" s="11">
        <f>K8/$D$8</f>
        <v/>
      </c>
      <c r="M8" s="10">
        <f>N8-K8</f>
        <v/>
      </c>
      <c r="N8" s="10" t="n">
        <v>1</v>
      </c>
      <c r="O8" s="11">
        <f>N8/$D$8</f>
        <v/>
      </c>
      <c r="P8" s="10">
        <f>Q8-N8</f>
        <v/>
      </c>
      <c r="Q8" s="10" t="n">
        <v>1</v>
      </c>
      <c r="R8" s="11">
        <f>Q8/$D$8</f>
        <v/>
      </c>
      <c r="S8" s="10">
        <f>T8-Q8</f>
        <v/>
      </c>
      <c r="T8" s="10" t="n">
        <v>221</v>
      </c>
      <c r="U8" s="11">
        <f>T8/$D$8</f>
        <v/>
      </c>
      <c r="V8" s="12">
        <f>W8-T8</f>
        <v/>
      </c>
      <c r="W8" s="12" t="n">
        <v>222</v>
      </c>
      <c r="X8" s="13">
        <f>W8/$D$8</f>
        <v/>
      </c>
      <c r="Y8" s="8" t="inlineStr"/>
    </row>
    <row r="9">
      <c r="A9" s="7" t="n">
        <v>5</v>
      </c>
      <c r="B9" s="8" t="inlineStr">
        <is>
          <t>D'Terra Residences</t>
        </is>
      </c>
      <c r="C9" s="9" t="n">
        <v>44946</v>
      </c>
      <c r="D9" s="10" t="n">
        <v>767</v>
      </c>
      <c r="E9" s="7" t="inlineStr">
        <is>
          <t>20011-2</t>
        </is>
      </c>
      <c r="F9" s="8" t="inlineStr">
        <is>
          <t>MIGHTYPROP  SDN. BHD.</t>
        </is>
      </c>
      <c r="G9" s="10" t="n"/>
      <c r="H9" s="10" t="n">
        <v>767</v>
      </c>
      <c r="I9" s="11">
        <f>H9/$D$9</f>
        <v/>
      </c>
      <c r="J9" s="10">
        <f>K9-H9</f>
        <v/>
      </c>
      <c r="K9" s="10" t="n">
        <v>767</v>
      </c>
      <c r="L9" s="11">
        <f>K9/$D$9</f>
        <v/>
      </c>
      <c r="M9" s="10">
        <f>N9-K9</f>
        <v/>
      </c>
      <c r="N9" s="10" t="n">
        <v>767</v>
      </c>
      <c r="O9" s="11">
        <f>N9/$D$9</f>
        <v/>
      </c>
      <c r="P9" s="10">
        <f>Q9-N9</f>
        <v/>
      </c>
      <c r="Q9" s="10" t="n">
        <v>767</v>
      </c>
      <c r="R9" s="11">
        <f>Q9/$D$9</f>
        <v/>
      </c>
      <c r="S9" s="10">
        <f>T9-Q9</f>
        <v/>
      </c>
      <c r="T9" s="10" t="n">
        <v>767</v>
      </c>
      <c r="U9" s="11">
        <f>T9/$D$9</f>
        <v/>
      </c>
      <c r="V9" s="12">
        <f>W9-T9</f>
        <v/>
      </c>
      <c r="W9" s="12" t="n">
        <v>767</v>
      </c>
      <c r="X9" s="13">
        <f>W9/$D$9</f>
        <v/>
      </c>
      <c r="Y9" s="8" t="inlineStr">
        <is>
          <t>Latest sales - Block B: 767 units</t>
        </is>
      </c>
    </row>
    <row r="10">
      <c r="A10" s="7" t="n">
        <v>6</v>
      </c>
      <c r="B10" s="8" t="inlineStr">
        <is>
          <t>D'Tessera Residences</t>
        </is>
      </c>
      <c r="C10" s="9" t="n">
        <v>45033</v>
      </c>
      <c r="D10" s="10" t="n">
        <v>671</v>
      </c>
      <c r="E10" s="7" t="inlineStr">
        <is>
          <t>20011-4</t>
        </is>
      </c>
      <c r="F10" s="8" t="inlineStr">
        <is>
          <t>MIGHTYPROP  SDN. BHD.</t>
        </is>
      </c>
      <c r="G10" s="10" t="n"/>
      <c r="H10" s="10" t="n">
        <v>664</v>
      </c>
      <c r="I10" s="11">
        <f>H10/$D$10</f>
        <v/>
      </c>
      <c r="J10" s="10">
        <f>K10-H10</f>
        <v/>
      </c>
      <c r="K10" s="10" t="n">
        <v>664</v>
      </c>
      <c r="L10" s="11">
        <f>K10/$D$10</f>
        <v/>
      </c>
      <c r="M10" s="10">
        <f>N10-K10</f>
        <v/>
      </c>
      <c r="N10" s="10" t="n">
        <v>664</v>
      </c>
      <c r="O10" s="11">
        <f>N10/$D$10</f>
        <v/>
      </c>
      <c r="P10" s="10">
        <f>Q10-N10</f>
        <v/>
      </c>
      <c r="Q10" s="10" t="n">
        <v>664</v>
      </c>
      <c r="R10" s="11">
        <f>Q10/$D$10</f>
        <v/>
      </c>
      <c r="S10" s="10">
        <f>T10-Q10</f>
        <v/>
      </c>
      <c r="T10" s="10" t="n">
        <v>664</v>
      </c>
      <c r="U10" s="11">
        <f>T10/$D$10</f>
        <v/>
      </c>
      <c r="V10" s="12">
        <f>W10-T10</f>
        <v/>
      </c>
      <c r="W10" s="12" t="n">
        <v>664</v>
      </c>
      <c r="X10" s="13">
        <f>W10/$D$10</f>
        <v/>
      </c>
      <c r="Y10" s="8" t="inlineStr">
        <is>
          <t>Latest sales - Block C: 664 units</t>
        </is>
      </c>
    </row>
    <row r="11">
      <c r="A11" s="7" t="n">
        <v>7</v>
      </c>
      <c r="B11" s="8" t="inlineStr">
        <is>
          <t>Hanaz Suites</t>
        </is>
      </c>
      <c r="C11" s="9" t="n">
        <v>45659</v>
      </c>
      <c r="D11" s="10" t="n">
        <v>98</v>
      </c>
      <c r="E11" s="7" t="inlineStr">
        <is>
          <t>13666-2</t>
        </is>
      </c>
      <c r="F11" s="8" t="inlineStr">
        <is>
          <t>SUNRISE CHARM SDN. BHD.</t>
        </is>
      </c>
      <c r="G11" s="10" t="n"/>
      <c r="H11" s="10" t="n">
        <v>98</v>
      </c>
      <c r="I11" s="11">
        <f>H11/$D$11</f>
        <v/>
      </c>
      <c r="J11" s="10">
        <f>K11-H11</f>
        <v/>
      </c>
      <c r="K11" s="10" t="n">
        <v>98</v>
      </c>
      <c r="L11" s="11">
        <f>K11/$D$11</f>
        <v/>
      </c>
      <c r="M11" s="10">
        <f>N11-K11</f>
        <v/>
      </c>
      <c r="N11" s="10" t="n">
        <v>98</v>
      </c>
      <c r="O11" s="11">
        <f>N11/$D$11</f>
        <v/>
      </c>
      <c r="P11" s="10">
        <f>Q11-N11</f>
        <v/>
      </c>
      <c r="Q11" s="10" t="n">
        <v>98</v>
      </c>
      <c r="R11" s="11">
        <f>Q11/$D$11</f>
        <v/>
      </c>
      <c r="S11" s="10">
        <f>T11-Q11</f>
        <v/>
      </c>
      <c r="T11" s="10" t="n">
        <v>98</v>
      </c>
      <c r="U11" s="11">
        <f>T11/$D$11</f>
        <v/>
      </c>
      <c r="V11" s="12">
        <f>W11-T11</f>
        <v/>
      </c>
      <c r="W11" s="12" t="n">
        <v>97</v>
      </c>
      <c r="X11" s="13">
        <f>W11/$D$11</f>
        <v/>
      </c>
      <c r="Y11" s="8" t="inlineStr"/>
    </row>
    <row r="12">
      <c r="A12" s="7" t="n">
        <v>8</v>
      </c>
      <c r="B12" s="8" t="inlineStr">
        <is>
          <t>Hugoz Suites</t>
        </is>
      </c>
      <c r="C12" s="9" t="n">
        <v>45184</v>
      </c>
      <c r="D12" s="10" t="n">
        <v>320</v>
      </c>
      <c r="E12" s="7" t="inlineStr">
        <is>
          <t>30370-1</t>
        </is>
      </c>
      <c r="F12" s="8" t="inlineStr">
        <is>
          <t>ARMADA ISTIMEWA SDN. BHD.</t>
        </is>
      </c>
      <c r="G12" s="10" t="n"/>
      <c r="H12" s="10" t="n">
        <v>319</v>
      </c>
      <c r="I12" s="11">
        <f>H12/$D$12</f>
        <v/>
      </c>
      <c r="J12" s="10">
        <f>K12-H12</f>
        <v/>
      </c>
      <c r="K12" s="10" t="n">
        <v>319</v>
      </c>
      <c r="L12" s="11">
        <f>K12/$D$12</f>
        <v/>
      </c>
      <c r="M12" s="10">
        <f>N12-K12</f>
        <v/>
      </c>
      <c r="N12" s="10" t="n">
        <v>319</v>
      </c>
      <c r="O12" s="11">
        <f>N12/$D$12</f>
        <v/>
      </c>
      <c r="P12" s="10">
        <f>Q12-N12</f>
        <v/>
      </c>
      <c r="Q12" s="10" t="n">
        <v>319</v>
      </c>
      <c r="R12" s="11">
        <f>Q12/$D$12</f>
        <v/>
      </c>
      <c r="S12" s="10">
        <f>T12-Q12</f>
        <v/>
      </c>
      <c r="T12" s="10" t="n">
        <v>319</v>
      </c>
      <c r="U12" s="11">
        <f>T12/$D$12</f>
        <v/>
      </c>
      <c r="V12" s="12">
        <f>W12-T12</f>
        <v/>
      </c>
      <c r="W12" s="12" t="n">
        <v>319</v>
      </c>
      <c r="X12" s="13">
        <f>W12/$D$12</f>
        <v/>
      </c>
      <c r="Y12" s="8" t="inlineStr"/>
    </row>
    <row r="13">
      <c r="A13" s="7" t="n">
        <v>9</v>
      </c>
      <c r="B13" s="8" t="inlineStr">
        <is>
          <t>Kyliez Suites</t>
        </is>
      </c>
      <c r="C13" s="9" t="n">
        <v>45511</v>
      </c>
      <c r="D13" s="10" t="n">
        <v>126</v>
      </c>
      <c r="E13" s="7" t="inlineStr">
        <is>
          <t>30789-1</t>
        </is>
      </c>
      <c r="F13" s="8" t="inlineStr">
        <is>
          <t>EXSIM AVENUE SDN. BHD.</t>
        </is>
      </c>
      <c r="G13" s="10" t="n"/>
      <c r="H13" s="10" t="n">
        <v>126</v>
      </c>
      <c r="I13" s="11">
        <f>H13/$D$13</f>
        <v/>
      </c>
      <c r="J13" s="10">
        <f>K13-H13</f>
        <v/>
      </c>
      <c r="K13" s="10" t="n">
        <v>126</v>
      </c>
      <c r="L13" s="11">
        <f>K13/$D$13</f>
        <v/>
      </c>
      <c r="M13" s="10">
        <f>N13-K13</f>
        <v/>
      </c>
      <c r="N13" s="10" t="n">
        <v>126</v>
      </c>
      <c r="O13" s="11">
        <f>N13/$D$13</f>
        <v/>
      </c>
      <c r="P13" s="10">
        <f>Q13-N13</f>
        <v/>
      </c>
      <c r="Q13" s="10" t="n">
        <v>126</v>
      </c>
      <c r="R13" s="11">
        <f>Q13/$D$13</f>
        <v/>
      </c>
      <c r="S13" s="10">
        <f>T13-Q13</f>
        <v/>
      </c>
      <c r="T13" s="10" t="n">
        <v>126</v>
      </c>
      <c r="U13" s="11">
        <f>T13/$D$13</f>
        <v/>
      </c>
      <c r="V13" s="12">
        <f>W13-T13</f>
        <v/>
      </c>
      <c r="W13" s="12" t="n">
        <v>126</v>
      </c>
      <c r="X13" s="13">
        <f>W13/$D$13</f>
        <v/>
      </c>
      <c r="Y13" s="8" t="inlineStr"/>
    </row>
    <row r="14">
      <c r="A14" s="7" t="n">
        <v>10</v>
      </c>
      <c r="B14" s="8" t="inlineStr">
        <is>
          <t>Noordinz Suites</t>
        </is>
      </c>
      <c r="C14" s="9" t="n">
        <v>45251</v>
      </c>
      <c r="D14" s="10" t="n">
        <v>603</v>
      </c>
      <c r="E14" s="7" t="inlineStr">
        <is>
          <t>30571-1</t>
        </is>
      </c>
      <c r="F14" s="8" t="inlineStr">
        <is>
          <t>EXSIM NOORDIN SDN. BHD.</t>
        </is>
      </c>
      <c r="G14" s="10" t="n"/>
      <c r="H14" s="10" t="n">
        <v>602</v>
      </c>
      <c r="I14" s="11">
        <f>H14/$D$14</f>
        <v/>
      </c>
      <c r="J14" s="10">
        <f>K14-H14</f>
        <v/>
      </c>
      <c r="K14" s="10" t="n">
        <v>602</v>
      </c>
      <c r="L14" s="11">
        <f>K14/$D$14</f>
        <v/>
      </c>
      <c r="M14" s="10">
        <f>N14-K14</f>
        <v/>
      </c>
      <c r="N14" s="10" t="n">
        <v>602</v>
      </c>
      <c r="O14" s="11">
        <f>N14/$D$14</f>
        <v/>
      </c>
      <c r="P14" s="10">
        <f>Q14-N14</f>
        <v/>
      </c>
      <c r="Q14" s="10" t="n">
        <v>602</v>
      </c>
      <c r="R14" s="11">
        <f>Q14/$D$14</f>
        <v/>
      </c>
      <c r="S14" s="10">
        <f>T14-Q14</f>
        <v/>
      </c>
      <c r="T14" s="10" t="n">
        <v>602</v>
      </c>
      <c r="U14" s="11">
        <f>T14/$D$14</f>
        <v/>
      </c>
      <c r="V14" s="12">
        <f>W14-T14</f>
        <v/>
      </c>
      <c r="W14" s="12" t="n">
        <v>602</v>
      </c>
      <c r="X14" s="13">
        <f>W14/$D$14</f>
        <v/>
      </c>
      <c r="Y14" s="8" t="inlineStr"/>
    </row>
    <row r="15">
      <c r="A15" s="7" t="n">
        <v>11</v>
      </c>
      <c r="B15" s="8" t="inlineStr">
        <is>
          <t>Qubaz Suites</t>
        </is>
      </c>
      <c r="C15" s="9" t="n">
        <v>45716</v>
      </c>
      <c r="D15" s="10" t="n">
        <v>759</v>
      </c>
      <c r="E15" s="7" t="inlineStr">
        <is>
          <t>30914-1</t>
        </is>
      </c>
      <c r="F15" s="8" t="inlineStr">
        <is>
          <t>EXSIM KG TIONG (KT)  SDN. BHD.</t>
        </is>
      </c>
      <c r="G15" s="10" t="n"/>
      <c r="H15" s="10" t="n">
        <v>625</v>
      </c>
      <c r="I15" s="11">
        <f>H15/$D$15</f>
        <v/>
      </c>
      <c r="J15" s="10">
        <f>K15-H15</f>
        <v/>
      </c>
      <c r="K15" s="10" t="n">
        <v>634</v>
      </c>
      <c r="L15" s="11">
        <f>K15/$D$15</f>
        <v/>
      </c>
      <c r="M15" s="10">
        <f>N15-K15</f>
        <v/>
      </c>
      <c r="N15" s="10" t="n">
        <v>638</v>
      </c>
      <c r="O15" s="11">
        <f>N15/$D$15</f>
        <v/>
      </c>
      <c r="P15" s="10">
        <f>Q15-N15</f>
        <v/>
      </c>
      <c r="Q15" s="10" t="n">
        <v>642</v>
      </c>
      <c r="R15" s="11">
        <f>Q15/$D$15</f>
        <v/>
      </c>
      <c r="S15" s="10">
        <f>T15-Q15</f>
        <v/>
      </c>
      <c r="T15" s="10" t="n">
        <v>648</v>
      </c>
      <c r="U15" s="11">
        <f>T15/$D$15</f>
        <v/>
      </c>
      <c r="V15" s="12">
        <f>W15-T15</f>
        <v/>
      </c>
      <c r="W15" s="12" t="n">
        <v>655</v>
      </c>
      <c r="X15" s="13">
        <f>W15/$D$15</f>
        <v/>
      </c>
      <c r="Y15" s="8" t="inlineStr"/>
    </row>
    <row r="16">
      <c r="A16" s="7" t="n">
        <v>12</v>
      </c>
      <c r="B16" s="8" t="inlineStr">
        <is>
          <t>Sea Crestz</t>
        </is>
      </c>
      <c r="C16" s="9" t="n">
        <v>45736</v>
      </c>
      <c r="D16" s="10" t="n">
        <v>456</v>
      </c>
      <c r="E16" s="7" t="inlineStr">
        <is>
          <t>30830-1</t>
        </is>
      </c>
      <c r="F16" s="8" t="inlineStr">
        <is>
          <t>KUANTAN WATERFRONT RESORT CITY SDN. BHD.</t>
        </is>
      </c>
      <c r="G16" s="10" t="n"/>
      <c r="H16" s="10" t="n">
        <v>317</v>
      </c>
      <c r="I16" s="11">
        <f>H16/$D$16</f>
        <v/>
      </c>
      <c r="J16" s="10">
        <f>K16-H16</f>
        <v/>
      </c>
      <c r="K16" s="10" t="n">
        <v>319</v>
      </c>
      <c r="L16" s="11">
        <f>K16/$D$16</f>
        <v/>
      </c>
      <c r="M16" s="10">
        <f>N16-K16</f>
        <v/>
      </c>
      <c r="N16" s="10" t="n">
        <v>320</v>
      </c>
      <c r="O16" s="11">
        <f>N16/$D$16</f>
        <v/>
      </c>
      <c r="P16" s="10">
        <f>Q16-N16</f>
        <v/>
      </c>
      <c r="Q16" s="10" t="n">
        <v>323</v>
      </c>
      <c r="R16" s="11">
        <f>Q16/$D$16</f>
        <v/>
      </c>
      <c r="S16" s="10">
        <f>T16-Q16</f>
        <v/>
      </c>
      <c r="T16" s="10" t="n">
        <v>324</v>
      </c>
      <c r="U16" s="11">
        <f>T16/$D$16</f>
        <v/>
      </c>
      <c r="V16" s="12">
        <f>W16-T16</f>
        <v/>
      </c>
      <c r="W16" s="12" t="n">
        <v>327</v>
      </c>
      <c r="X16" s="13">
        <f>W16/$D$16</f>
        <v/>
      </c>
      <c r="Y16" s="8" t="inlineStr"/>
    </row>
    <row r="17">
      <c r="A17" s="7" t="n">
        <v>13</v>
      </c>
      <c r="B17" s="8" t="inlineStr">
        <is>
          <t>The Aldenz</t>
        </is>
      </c>
      <c r="C17" s="9" t="n">
        <v>45839</v>
      </c>
      <c r="D17" s="10" t="n">
        <v>662</v>
      </c>
      <c r="E17" s="7" t="inlineStr">
        <is>
          <t>20011-5</t>
        </is>
      </c>
      <c r="F17" s="8" t="inlineStr">
        <is>
          <t>MIGHTYPROP  SDN. BHD.</t>
        </is>
      </c>
      <c r="G17" s="10" t="n"/>
      <c r="H17" s="10" t="n">
        <v>181</v>
      </c>
      <c r="I17" s="11">
        <f>H17/$D$17</f>
        <v/>
      </c>
      <c r="J17" s="10">
        <f>K17-H17</f>
        <v/>
      </c>
      <c r="K17" s="10" t="n">
        <v>203</v>
      </c>
      <c r="L17" s="11">
        <f>K17/$D$17</f>
        <v/>
      </c>
      <c r="M17" s="10">
        <f>N17-K17</f>
        <v/>
      </c>
      <c r="N17" s="10" t="n">
        <v>207</v>
      </c>
      <c r="O17" s="11">
        <f>N17/$D$17</f>
        <v/>
      </c>
      <c r="P17" s="10">
        <f>Q17-N17</f>
        <v/>
      </c>
      <c r="Q17" s="10" t="n">
        <v>205</v>
      </c>
      <c r="R17" s="11">
        <f>Q17/$D$17</f>
        <v/>
      </c>
      <c r="S17" s="10">
        <f>T17-Q17</f>
        <v/>
      </c>
      <c r="T17" s="10" t="n">
        <v>206</v>
      </c>
      <c r="U17" s="11">
        <f>T17/$D$17</f>
        <v/>
      </c>
      <c r="V17" s="12">
        <f>W17-T17</f>
        <v/>
      </c>
      <c r="W17" s="12" t="n">
        <v>207</v>
      </c>
      <c r="X17" s="13">
        <f>W17/$D$17</f>
        <v/>
      </c>
      <c r="Y17" s="8" t="inlineStr"/>
    </row>
    <row r="18">
      <c r="A18" s="7" t="n">
        <v>14</v>
      </c>
      <c r="B18" s="8" t="inlineStr">
        <is>
          <t>The Asteriaz</t>
        </is>
      </c>
      <c r="C18" s="9" t="n">
        <v>45856</v>
      </c>
      <c r="D18" s="10" t="n">
        <v>848</v>
      </c>
      <c r="E18" s="7" t="inlineStr">
        <is>
          <t>31007-1</t>
        </is>
      </c>
      <c r="F18" s="8" t="inlineStr">
        <is>
          <t>EXSIM KEBUN TEH SDN. BHD.</t>
        </is>
      </c>
      <c r="G18" s="10" t="n"/>
      <c r="H18" s="10" t="n">
        <v>845</v>
      </c>
      <c r="I18" s="11">
        <f>H18/$D$18</f>
        <v/>
      </c>
      <c r="J18" s="10">
        <f>K18-H18</f>
        <v/>
      </c>
      <c r="K18" s="10" t="n">
        <v>844</v>
      </c>
      <c r="L18" s="11">
        <f>K18/$D$18</f>
        <v/>
      </c>
      <c r="M18" s="10">
        <f>N18-K18</f>
        <v/>
      </c>
      <c r="N18" s="10" t="n">
        <v>845</v>
      </c>
      <c r="O18" s="11">
        <f>N18/$D$18</f>
        <v/>
      </c>
      <c r="P18" s="10">
        <f>Q18-N18</f>
        <v/>
      </c>
      <c r="Q18" s="10" t="n">
        <v>845</v>
      </c>
      <c r="R18" s="11">
        <f>Q18/$D$18</f>
        <v/>
      </c>
      <c r="S18" s="10">
        <f>T18-Q18</f>
        <v/>
      </c>
      <c r="T18" s="10" t="n">
        <v>844</v>
      </c>
      <c r="U18" s="11">
        <f>T18/$D$18</f>
        <v/>
      </c>
      <c r="V18" s="12">
        <f>W18-T18</f>
        <v/>
      </c>
      <c r="W18" s="12" t="n">
        <v>845</v>
      </c>
      <c r="X18" s="13">
        <f>W18/$D$18</f>
        <v/>
      </c>
      <c r="Y18" s="8" t="inlineStr">
        <is>
          <t>-</t>
        </is>
      </c>
    </row>
    <row r="19">
      <c r="A19" s="7" t="n">
        <v>15</v>
      </c>
      <c r="B19" s="8" t="inlineStr">
        <is>
          <t>The Fiddlewoodz</t>
        </is>
      </c>
      <c r="C19" s="9" t="n">
        <v>44282</v>
      </c>
      <c r="D19" s="10" t="n">
        <v>679</v>
      </c>
      <c r="E19" s="7" t="inlineStr">
        <is>
          <t>20084-1</t>
        </is>
      </c>
      <c r="F19" s="8" t="inlineStr">
        <is>
          <t>IVORY INTERPOINT SDN. BHD.</t>
        </is>
      </c>
      <c r="G19" s="10" t="n"/>
      <c r="H19" s="10" t="n">
        <v>339</v>
      </c>
      <c r="I19" s="11">
        <f>H19/$D$19</f>
        <v/>
      </c>
      <c r="J19" s="10">
        <f>K19-H19</f>
        <v/>
      </c>
      <c r="K19" s="10" t="n">
        <v>339</v>
      </c>
      <c r="L19" s="11">
        <f>K19/$D$19</f>
        <v/>
      </c>
      <c r="M19" s="10">
        <f>N19-K19</f>
        <v/>
      </c>
      <c r="N19" s="10" t="n">
        <v>339</v>
      </c>
      <c r="O19" s="11">
        <f>N19/$D$19</f>
        <v/>
      </c>
      <c r="P19" s="10">
        <f>Q19-N19</f>
        <v/>
      </c>
      <c r="Q19" s="10" t="n">
        <v>339</v>
      </c>
      <c r="R19" s="11">
        <f>Q19/$D$19</f>
        <v/>
      </c>
      <c r="S19" s="10">
        <f>T19-Q19</f>
        <v/>
      </c>
      <c r="T19" s="10" t="n">
        <v>339</v>
      </c>
      <c r="U19" s="11">
        <f>T19/$D$19</f>
        <v/>
      </c>
      <c r="V19" s="12">
        <f>W19-T19</f>
        <v/>
      </c>
      <c r="W19" s="12" t="n">
        <v>339</v>
      </c>
      <c r="X19" s="13">
        <f>W19/$D$19</f>
        <v/>
      </c>
      <c r="Y19" s="8" t="inlineStr">
        <is>
          <t>Latest sales - Block A: 312 units, Block B: 27 units</t>
        </is>
      </c>
    </row>
    <row r="20">
      <c r="A20" s="7" t="n">
        <v>16</v>
      </c>
      <c r="B20" s="8" t="inlineStr">
        <is>
          <t>The Kingswoodz</t>
        </is>
      </c>
      <c r="C20" s="9" t="n">
        <v>45516</v>
      </c>
      <c r="D20" s="10" t="n">
        <v>1558</v>
      </c>
      <c r="E20" s="7" t="inlineStr">
        <is>
          <t>30741-1</t>
        </is>
      </c>
      <c r="F20" s="8" t="inlineStr">
        <is>
          <t>EXSIM JALIL LINK   SDN. BHD.</t>
        </is>
      </c>
      <c r="G20" s="10" t="n"/>
      <c r="H20" s="10" t="n">
        <v>1552</v>
      </c>
      <c r="I20" s="11">
        <f>H20/$D$20</f>
        <v/>
      </c>
      <c r="J20" s="10">
        <f>K20-H20</f>
        <v/>
      </c>
      <c r="K20" s="10" t="n">
        <v>1552</v>
      </c>
      <c r="L20" s="11">
        <f>K20/$D$20</f>
        <v/>
      </c>
      <c r="M20" s="10">
        <f>N20-K20</f>
        <v/>
      </c>
      <c r="N20" s="10" t="n">
        <v>1552</v>
      </c>
      <c r="O20" s="11">
        <f>N20/$D$20</f>
        <v/>
      </c>
      <c r="P20" s="10">
        <f>Q20-N20</f>
        <v/>
      </c>
      <c r="Q20" s="10" t="n">
        <v>1553</v>
      </c>
      <c r="R20" s="11">
        <f>Q20/$D$20</f>
        <v/>
      </c>
      <c r="S20" s="10">
        <f>T20-Q20</f>
        <v/>
      </c>
      <c r="T20" s="10" t="n">
        <v>1553</v>
      </c>
      <c r="U20" s="11">
        <f>T20/$D$20</f>
        <v/>
      </c>
      <c r="V20" s="12">
        <f>W20-T20</f>
        <v/>
      </c>
      <c r="W20" s="12" t="n">
        <v>1553</v>
      </c>
      <c r="X20" s="13">
        <f>W20/$D$20</f>
        <v/>
      </c>
      <c r="Y20" s="8" t="inlineStr">
        <is>
          <t>Latest sales - Block A: 458 units, Block B: 505 units, Block C: 590 units</t>
        </is>
      </c>
    </row>
    <row r="21">
      <c r="A21" s="7" t="n">
        <v>17</v>
      </c>
      <c r="B21" s="8" t="inlineStr">
        <is>
          <t>The Lighthauz</t>
        </is>
      </c>
      <c r="C21" s="9" t="n">
        <v>45952</v>
      </c>
      <c r="D21" s="10" t="n">
        <v>671</v>
      </c>
      <c r="E21" s="7" t="inlineStr">
        <is>
          <t>31088-1</t>
        </is>
      </c>
      <c r="F21" s="8" t="inlineStr">
        <is>
          <t>EXSIM WATERFRONT SDN. BHD.</t>
        </is>
      </c>
      <c r="G21" s="10" t="n"/>
      <c r="H21" s="10" t="n">
        <v>553</v>
      </c>
      <c r="I21" s="11">
        <f>H21/$D$21</f>
        <v/>
      </c>
      <c r="J21" s="10">
        <f>K21-H21</f>
        <v/>
      </c>
      <c r="K21" s="10" t="n">
        <v>557</v>
      </c>
      <c r="L21" s="11">
        <f>K21/$D$21</f>
        <v/>
      </c>
      <c r="M21" s="10">
        <f>N21-K21</f>
        <v/>
      </c>
      <c r="N21" s="10" t="n">
        <v>562</v>
      </c>
      <c r="O21" s="11">
        <f>N21/$D$21</f>
        <v/>
      </c>
      <c r="P21" s="10">
        <f>Q21-N21</f>
        <v/>
      </c>
      <c r="Q21" s="10" t="n">
        <v>566</v>
      </c>
      <c r="R21" s="11">
        <f>Q21/$D$21</f>
        <v/>
      </c>
      <c r="S21" s="10">
        <f>T21-Q21</f>
        <v/>
      </c>
      <c r="T21" s="10" t="n">
        <v>570</v>
      </c>
      <c r="U21" s="11">
        <f>T21/$D$21</f>
        <v/>
      </c>
      <c r="V21" s="12">
        <f>W21-T21</f>
        <v/>
      </c>
      <c r="W21" s="12" t="n">
        <v>574</v>
      </c>
      <c r="X21" s="13">
        <f>W21/$D$21</f>
        <v/>
      </c>
      <c r="Y21" s="8" t="inlineStr"/>
    </row>
    <row r="22">
      <c r="A22" s="7" t="n">
        <v>18</v>
      </c>
      <c r="B22" s="8" t="inlineStr">
        <is>
          <t>The Queenswoodz</t>
        </is>
      </c>
      <c r="C22" s="9" t="n">
        <v>46099</v>
      </c>
      <c r="D22" s="10" t="n">
        <v>1004</v>
      </c>
      <c r="E22" s="7" t="inlineStr">
        <is>
          <t>30741-2</t>
        </is>
      </c>
      <c r="F22" s="8" t="inlineStr">
        <is>
          <t>EXSIM JALIL LINK   SDN. BHD.</t>
        </is>
      </c>
      <c r="G22" s="10" t="n"/>
      <c r="H22" s="10" t="n">
        <v>438</v>
      </c>
      <c r="I22" s="11">
        <f>H22/$D$22</f>
        <v/>
      </c>
      <c r="J22" s="10">
        <f>K22-H22</f>
        <v/>
      </c>
      <c r="K22" s="10" t="n">
        <v>441</v>
      </c>
      <c r="L22" s="11">
        <f>K22/$D$22</f>
        <v/>
      </c>
      <c r="M22" s="10">
        <f>N22-K22</f>
        <v/>
      </c>
      <c r="N22" s="10" t="n">
        <v>443</v>
      </c>
      <c r="O22" s="11">
        <f>N22/$D$22</f>
        <v/>
      </c>
      <c r="P22" s="10">
        <f>Q22-N22</f>
        <v/>
      </c>
      <c r="Q22" s="10" t="n">
        <v>447</v>
      </c>
      <c r="R22" s="11">
        <f>Q22/$D$22</f>
        <v/>
      </c>
      <c r="S22" s="10">
        <f>T22-Q22</f>
        <v/>
      </c>
      <c r="T22" s="10" t="n">
        <v>455</v>
      </c>
      <c r="U22" s="11">
        <f>T22/$D$22</f>
        <v/>
      </c>
      <c r="V22" s="12">
        <f>W22-T22</f>
        <v/>
      </c>
      <c r="W22" s="12" t="n">
        <v>460</v>
      </c>
      <c r="X22" s="13">
        <f>W22/$D$22</f>
        <v/>
      </c>
      <c r="Y22" s="8" t="inlineStr">
        <is>
          <t>Latest sales - Block A: 203 units, Block B: 257 units</t>
        </is>
      </c>
    </row>
    <row r="23">
      <c r="A23" s="7" t="n">
        <v>19</v>
      </c>
      <c r="B23" s="8" t="inlineStr">
        <is>
          <t>The Vividz</t>
        </is>
      </c>
      <c r="C23" s="9" t="n">
        <v>45806</v>
      </c>
      <c r="D23" s="10" t="n">
        <v>1138</v>
      </c>
      <c r="E23" s="7" t="inlineStr">
        <is>
          <t>30357-2</t>
        </is>
      </c>
      <c r="F23" s="8" t="inlineStr">
        <is>
          <t>EXSIM BUKIT JALIL CITY SDN. BHD.</t>
        </is>
      </c>
      <c r="G23" s="10" t="n"/>
      <c r="H23" s="10" t="n">
        <v>658</v>
      </c>
      <c r="I23" s="11">
        <f>H23/$D$23</f>
        <v/>
      </c>
      <c r="J23" s="10">
        <f>K23-H23</f>
        <v/>
      </c>
      <c r="K23" s="10" t="n">
        <v>658</v>
      </c>
      <c r="L23" s="11">
        <f>K23/$D$23</f>
        <v/>
      </c>
      <c r="M23" s="10">
        <f>N23-K23</f>
        <v/>
      </c>
      <c r="N23" s="10" t="n">
        <v>660</v>
      </c>
      <c r="O23" s="11">
        <f>N23/$D$23</f>
        <v/>
      </c>
      <c r="P23" s="10">
        <f>Q23-N23</f>
        <v/>
      </c>
      <c r="Q23" s="10" t="n">
        <v>661</v>
      </c>
      <c r="R23" s="11">
        <f>Q23/$D$23</f>
        <v/>
      </c>
      <c r="S23" s="10">
        <f>T23-Q23</f>
        <v/>
      </c>
      <c r="T23" s="10" t="n">
        <v>665</v>
      </c>
      <c r="U23" s="11">
        <f>T23/$D$23</f>
        <v/>
      </c>
      <c r="V23" s="12">
        <f>W23-T23</f>
        <v/>
      </c>
      <c r="W23" s="12" t="n">
        <v>669</v>
      </c>
      <c r="X23" s="13">
        <f>W23/$D$23</f>
        <v/>
      </c>
      <c r="Y23" s="8" t="inlineStr">
        <is>
          <t>Latest sales - Block A: 363 units, Block B: 306 units</t>
        </is>
      </c>
    </row>
    <row r="24">
      <c r="A24" s="7" t="n">
        <v>20</v>
      </c>
      <c r="B24" s="8" t="inlineStr">
        <is>
          <t>Veladaz Residences</t>
        </is>
      </c>
      <c r="C24" s="9" t="n">
        <v>45218</v>
      </c>
      <c r="D24" s="10" t="n">
        <v>508</v>
      </c>
      <c r="E24" s="7" t="inlineStr">
        <is>
          <t>30357-1</t>
        </is>
      </c>
      <c r="F24" s="8" t="inlineStr">
        <is>
          <t>EXSIM BUKIT JALIL CITY SDN. BHD.</t>
        </is>
      </c>
      <c r="G24" s="10" t="n"/>
      <c r="H24" s="10" t="n">
        <v>507</v>
      </c>
      <c r="I24" s="11">
        <f>H24/$D$24</f>
        <v/>
      </c>
      <c r="J24" s="10">
        <f>K24-H24</f>
        <v/>
      </c>
      <c r="K24" s="10" t="n">
        <v>507</v>
      </c>
      <c r="L24" s="11">
        <f>K24/$D$24</f>
        <v/>
      </c>
      <c r="M24" s="10">
        <f>N24-K24</f>
        <v/>
      </c>
      <c r="N24" s="10" t="n">
        <v>507</v>
      </c>
      <c r="O24" s="11">
        <f>N24/$D$24</f>
        <v/>
      </c>
      <c r="P24" s="10">
        <f>Q24-N24</f>
        <v/>
      </c>
      <c r="Q24" s="10" t="n">
        <v>507</v>
      </c>
      <c r="R24" s="11">
        <f>Q24/$D$24</f>
        <v/>
      </c>
      <c r="S24" s="10">
        <f>T24-Q24</f>
        <v/>
      </c>
      <c r="T24" s="10" t="n">
        <v>507</v>
      </c>
      <c r="U24" s="11">
        <f>T24/$D$24</f>
        <v/>
      </c>
      <c r="V24" s="12">
        <f>W24-T24</f>
        <v/>
      </c>
      <c r="W24" s="12" t="n">
        <v>507</v>
      </c>
      <c r="X24" s="13">
        <f>W24/$D$24</f>
        <v/>
      </c>
      <c r="Y24" s="8" t="inlineStr"/>
    </row>
    <row r="25">
      <c r="A25" s="7" t="n">
        <v>21</v>
      </c>
      <c r="B25" s="8" t="inlineStr">
        <is>
          <t>Causewayz Square @ JBCC</t>
        </is>
      </c>
      <c r="C25" s="9" t="n">
        <v>45966</v>
      </c>
      <c r="D25" s="10" t="n">
        <v>4525</v>
      </c>
      <c r="E25" s="7" t="inlineStr">
        <is>
          <t>31100-1,31100-2,31100-3,31100-4</t>
        </is>
      </c>
      <c r="F25" s="8" t="inlineStr"/>
      <c r="G25" s="10" t="n"/>
      <c r="H25" s="10" t="n">
        <v>1503</v>
      </c>
      <c r="I25" s="11">
        <f>H25/$D$25</f>
        <v/>
      </c>
      <c r="J25" s="10">
        <f>K25-H25</f>
        <v/>
      </c>
      <c r="K25" s="10" t="n">
        <v>1520</v>
      </c>
      <c r="L25" s="11">
        <f>K25/$D$25</f>
        <v/>
      </c>
      <c r="M25" s="10">
        <f>N25-K25</f>
        <v/>
      </c>
      <c r="N25" s="10" t="n">
        <v>1542</v>
      </c>
      <c r="O25" s="11">
        <f>N25/$D$25</f>
        <v/>
      </c>
      <c r="P25" s="10">
        <f>Q25-N25</f>
        <v/>
      </c>
      <c r="Q25" s="10" t="n">
        <v>1559</v>
      </c>
      <c r="R25" s="11">
        <f>Q25/$D$25</f>
        <v/>
      </c>
      <c r="S25" s="10">
        <f>T25-Q25</f>
        <v/>
      </c>
      <c r="T25" s="10" t="n">
        <v>1569</v>
      </c>
      <c r="U25" s="11">
        <f>T25/$D$25</f>
        <v/>
      </c>
      <c r="V25" s="12">
        <f>W25-T25</f>
        <v/>
      </c>
      <c r="W25" s="12" t="n">
        <v>1581</v>
      </c>
      <c r="X25" s="13">
        <f>W25/$D$25</f>
        <v/>
      </c>
      <c r="Y25" s="8" t="inlineStr">
        <is>
          <t>Latest sales - Block A: 538 units, Block B: 546 units, Block D: 497 units</t>
        </is>
      </c>
    </row>
    <row r="26">
      <c r="A26" s="7" t="n">
        <v>22</v>
      </c>
      <c r="B26" s="8" t="inlineStr">
        <is>
          <t>The Stallionz</t>
        </is>
      </c>
      <c r="C26" s="9" t="n">
        <v>44840</v>
      </c>
      <c r="D26" s="10" t="n">
        <v>424</v>
      </c>
      <c r="E26" s="7" t="inlineStr">
        <is>
          <t>30131-1</t>
        </is>
      </c>
      <c r="F26" s="8" t="inlineStr"/>
      <c r="G26" s="10" t="n"/>
      <c r="H26" s="10" t="n">
        <v>424</v>
      </c>
      <c r="I26" s="11">
        <f>H26/$D$26</f>
        <v/>
      </c>
      <c r="J26" s="10">
        <f>K26-H26</f>
        <v/>
      </c>
      <c r="K26" s="10" t="n">
        <v>424</v>
      </c>
      <c r="L26" s="11">
        <f>K26/$D$26</f>
        <v/>
      </c>
      <c r="M26" s="10">
        <f>N26-K26</f>
        <v/>
      </c>
      <c r="N26" s="10" t="n">
        <v>424</v>
      </c>
      <c r="O26" s="11">
        <f>N26/$D$26</f>
        <v/>
      </c>
      <c r="P26" s="10">
        <f>Q26-N26</f>
        <v/>
      </c>
      <c r="Q26" s="10" t="n">
        <v>424</v>
      </c>
      <c r="R26" s="11">
        <f>Q26/$D$26</f>
        <v/>
      </c>
      <c r="S26" s="10">
        <f>T26-Q26</f>
        <v/>
      </c>
      <c r="T26" s="10" t="n">
        <v>424</v>
      </c>
      <c r="U26" s="11">
        <f>T26/$D$26</f>
        <v/>
      </c>
      <c r="V26" s="12">
        <f>W26-T26</f>
        <v/>
      </c>
      <c r="W26" s="12" t="n">
        <v>424</v>
      </c>
      <c r="X26" s="13">
        <f>W26/$D$26</f>
        <v/>
      </c>
      <c r="Y26" s="8" t="inlineStr"/>
    </row>
    <row r="27">
      <c r="A27" s="7" t="n">
        <v>23</v>
      </c>
      <c r="B27" s="8" t="inlineStr">
        <is>
          <t>Keeperz Suites</t>
        </is>
      </c>
      <c r="C27" s="9" t="n">
        <v>46097</v>
      </c>
      <c r="D27" s="10" t="n">
        <v>493</v>
      </c>
      <c r="E27" s="7" t="inlineStr">
        <is>
          <t>31088-2</t>
        </is>
      </c>
      <c r="F27" s="8" t="inlineStr">
        <is>
          <t>EXSIM WATERFRONT SDN. BHD.</t>
        </is>
      </c>
      <c r="G27" s="10" t="n"/>
      <c r="H27" s="10" t="n"/>
      <c r="I27" s="11" t="n"/>
      <c r="J27" s="10" t="n"/>
      <c r="K27" s="10" t="n"/>
      <c r="L27" s="11" t="n"/>
      <c r="M27" s="10" t="n"/>
      <c r="N27" s="10" t="n">
        <v>9</v>
      </c>
      <c r="O27" s="11">
        <f>N27/$D$27</f>
        <v/>
      </c>
      <c r="P27" s="10">
        <f>Q27-N27</f>
        <v/>
      </c>
      <c r="Q27" s="10" t="n">
        <v>0</v>
      </c>
      <c r="R27" s="11">
        <f>Q27/$D$27</f>
        <v/>
      </c>
      <c r="S27" s="10">
        <f>T27-Q27</f>
        <v/>
      </c>
      <c r="T27" s="10" t="n">
        <v>43</v>
      </c>
      <c r="U27" s="11">
        <f>T27/$D$27</f>
        <v/>
      </c>
      <c r="V27" s="12">
        <f>W27-T27</f>
        <v/>
      </c>
      <c r="W27" s="12" t="n">
        <v>96</v>
      </c>
      <c r="X27" s="13">
        <f>W27/$D$27</f>
        <v/>
      </c>
      <c r="Y27" s="8" t="inlineStr">
        <is>
          <t>Latest sales - Block A: 46 units, Block B: 50 units</t>
        </is>
      </c>
    </row>
    <row r="28">
      <c r="A28" s="7" t="n">
        <v>24</v>
      </c>
      <c r="B28" s="8" t="inlineStr">
        <is>
          <t>Erinaz Suites @ Kubang Kerian</t>
        </is>
      </c>
      <c r="C28" s="9" t="n">
        <v>46239</v>
      </c>
      <c r="D28" s="10" t="n">
        <v>361</v>
      </c>
      <c r="E28" s="7" t="inlineStr">
        <is>
          <t>30371-1</t>
        </is>
      </c>
      <c r="F28" s="8" t="inlineStr">
        <is>
          <t>EXSIM KUBANG KERIAN SDN. BHD.</t>
        </is>
      </c>
      <c r="G28" s="10" t="n"/>
      <c r="H28" s="10" t="n"/>
      <c r="I28" s="11" t="n"/>
      <c r="J28" s="10" t="n"/>
      <c r="K28" s="10" t="n"/>
      <c r="L28" s="11" t="n"/>
      <c r="M28" s="10" t="n"/>
      <c r="N28" s="10" t="n">
        <v>32</v>
      </c>
      <c r="O28" s="11">
        <f>N28/$D$28</f>
        <v/>
      </c>
      <c r="P28" s="10">
        <f>Q28-N28</f>
        <v/>
      </c>
      <c r="Q28" s="10" t="n">
        <v>35</v>
      </c>
      <c r="R28" s="11">
        <f>Q28/$D$28</f>
        <v/>
      </c>
      <c r="S28" s="10">
        <f>T28-Q28</f>
        <v/>
      </c>
      <c r="T28" s="10" t="n">
        <v>37</v>
      </c>
      <c r="U28" s="11">
        <f>T28/$D$28</f>
        <v/>
      </c>
      <c r="V28" s="12">
        <f>W28-T28</f>
        <v/>
      </c>
      <c r="W28" s="12" t="n">
        <v>39</v>
      </c>
      <c r="X28" s="13">
        <f>W28/$D$28</f>
        <v/>
      </c>
      <c r="Y28" s="8" t="inlineStr"/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V4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(KSL)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Austin Legacy @ Mount Austin</t>
        </is>
      </c>
      <c r="C5" s="9" t="n">
        <v>45813</v>
      </c>
      <c r="D5" s="10" t="n">
        <v>1280</v>
      </c>
      <c r="E5" s="7" t="inlineStr">
        <is>
          <t>13457-2</t>
        </is>
      </c>
      <c r="F5" s="8" t="inlineStr">
        <is>
          <t>PROSPER PLUS INDUSTRY SDN. BHD.</t>
        </is>
      </c>
      <c r="G5" s="10" t="n"/>
      <c r="H5" s="10" t="n">
        <v>36</v>
      </c>
      <c r="I5" s="11">
        <f>H5/$D$5</f>
        <v/>
      </c>
      <c r="J5" s="10">
        <f>K5-H5</f>
        <v/>
      </c>
      <c r="K5" s="10" t="n">
        <v>36</v>
      </c>
      <c r="L5" s="11">
        <f>K5/$D$5</f>
        <v/>
      </c>
      <c r="M5" s="10">
        <f>N5-K5</f>
        <v/>
      </c>
      <c r="N5" s="10" t="n">
        <v>36</v>
      </c>
      <c r="O5" s="11">
        <f>N5/$D$5</f>
        <v/>
      </c>
      <c r="P5" s="10">
        <f>Q5-N5</f>
        <v/>
      </c>
      <c r="Q5" s="10" t="n">
        <v>36</v>
      </c>
      <c r="R5" s="11">
        <f>Q5/$D$5</f>
        <v/>
      </c>
      <c r="S5" s="12">
        <f>T5-Q5</f>
        <v/>
      </c>
      <c r="T5" s="12" t="n">
        <v>36</v>
      </c>
      <c r="U5" s="13">
        <f>T5/$D$5</f>
        <v/>
      </c>
      <c r="V5" s="8" t="inlineStr"/>
    </row>
    <row r="6">
      <c r="A6" s="7" t="n">
        <v>2</v>
      </c>
      <c r="B6" s="8" t="inlineStr">
        <is>
          <t>Lake View (Ponderosa) @ Taman Molek</t>
        </is>
      </c>
      <c r="C6" s="9" t="n">
        <v>45799</v>
      </c>
      <c r="D6" s="10" t="n">
        <v>1200</v>
      </c>
      <c r="E6" s="7" t="inlineStr">
        <is>
          <t>14641-2</t>
        </is>
      </c>
      <c r="F6" s="8" t="inlineStr">
        <is>
          <t>VIP BEYOND SDN. BHD.</t>
        </is>
      </c>
      <c r="G6" s="10" t="n"/>
      <c r="H6" s="10" t="n">
        <v>148</v>
      </c>
      <c r="I6" s="11">
        <f>H6/$D$6</f>
        <v/>
      </c>
      <c r="J6" s="10">
        <f>K6-H6</f>
        <v/>
      </c>
      <c r="K6" s="10" t="n">
        <v>148</v>
      </c>
      <c r="L6" s="11">
        <f>K6/$D$6</f>
        <v/>
      </c>
      <c r="M6" s="10">
        <f>N6-K6</f>
        <v/>
      </c>
      <c r="N6" s="10" t="n">
        <v>149</v>
      </c>
      <c r="O6" s="11">
        <f>N6/$D$6</f>
        <v/>
      </c>
      <c r="P6" s="10">
        <f>Q6-N6</f>
        <v/>
      </c>
      <c r="Q6" s="10" t="n">
        <v>149</v>
      </c>
      <c r="R6" s="11">
        <f>Q6/$D$6</f>
        <v/>
      </c>
      <c r="S6" s="12">
        <f>T6-Q6</f>
        <v/>
      </c>
      <c r="T6" s="12" t="n">
        <v>150</v>
      </c>
      <c r="U6" s="13">
        <f>T6/$D$6</f>
        <v/>
      </c>
      <c r="V6" s="8" t="inlineStr"/>
    </row>
    <row r="7">
      <c r="A7" s="7" t="n">
        <v>3</v>
      </c>
      <c r="B7" s="8" t="inlineStr">
        <is>
          <t>Taman Puncak Tropicana Ph1</t>
        </is>
      </c>
      <c r="C7" s="9" t="n">
        <v>45454</v>
      </c>
      <c r="D7" s="10" t="n">
        <v>160</v>
      </c>
      <c r="E7" s="7" t="inlineStr">
        <is>
          <t>30622-1</t>
        </is>
      </c>
      <c r="F7" s="8" t="inlineStr">
        <is>
          <t>KSL MEDINI DEVELOPMENT SDN. BHD.</t>
        </is>
      </c>
      <c r="G7" s="10" t="n"/>
      <c r="H7" s="10" t="n">
        <v>148</v>
      </c>
      <c r="I7" s="11">
        <f>H7/$D$7</f>
        <v/>
      </c>
      <c r="J7" s="10">
        <f>K7-H7</f>
        <v/>
      </c>
      <c r="K7" s="10" t="n">
        <v>148</v>
      </c>
      <c r="L7" s="11">
        <f>K7/$D$7</f>
        <v/>
      </c>
      <c r="M7" s="10">
        <f>N7-K7</f>
        <v/>
      </c>
      <c r="N7" s="10" t="n">
        <v>148</v>
      </c>
      <c r="O7" s="11">
        <f>N7/$D$7</f>
        <v/>
      </c>
      <c r="P7" s="10">
        <f>Q7-N7</f>
        <v/>
      </c>
      <c r="Q7" s="10" t="n">
        <v>148</v>
      </c>
      <c r="R7" s="11">
        <f>Q7/$D$7</f>
        <v/>
      </c>
      <c r="S7" s="12">
        <f>T7-Q7</f>
        <v/>
      </c>
      <c r="T7" s="12" t="n">
        <v>148</v>
      </c>
      <c r="U7" s="13">
        <f>T7/$D$7</f>
        <v/>
      </c>
      <c r="V7" s="8" t="inlineStr"/>
    </row>
    <row r="8">
      <c r="A8" s="7" t="n">
        <v>4</v>
      </c>
      <c r="B8" s="8" t="inlineStr">
        <is>
          <t>Taman Puncak Tropicana Ph2</t>
        </is>
      </c>
      <c r="C8" s="9" t="n">
        <v>45741</v>
      </c>
      <c r="D8" s="10" t="n">
        <v>175</v>
      </c>
      <c r="E8" s="7" t="inlineStr">
        <is>
          <t>30622-2</t>
        </is>
      </c>
      <c r="F8" s="8" t="inlineStr">
        <is>
          <t>KSL MEDINI DEVELOPMENT SDN. BHD.</t>
        </is>
      </c>
      <c r="G8" s="10" t="n"/>
      <c r="H8" s="10" t="n">
        <v>167</v>
      </c>
      <c r="I8" s="11">
        <f>H8/$D$8</f>
        <v/>
      </c>
      <c r="J8" s="10">
        <f>K8-H8</f>
        <v/>
      </c>
      <c r="K8" s="10" t="n">
        <v>167</v>
      </c>
      <c r="L8" s="11">
        <f>K8/$D$8</f>
        <v/>
      </c>
      <c r="M8" s="10">
        <f>N8-K8</f>
        <v/>
      </c>
      <c r="N8" s="10" t="n">
        <v>168</v>
      </c>
      <c r="O8" s="11">
        <f>N8/$D$8</f>
        <v/>
      </c>
      <c r="P8" s="10">
        <f>Q8-N8</f>
        <v/>
      </c>
      <c r="Q8" s="10" t="n">
        <v>168</v>
      </c>
      <c r="R8" s="11">
        <f>Q8/$D$8</f>
        <v/>
      </c>
      <c r="S8" s="12">
        <f>T8-Q8</f>
        <v/>
      </c>
      <c r="T8" s="12" t="n">
        <v>168</v>
      </c>
      <c r="U8" s="13">
        <f>T8/$D$8</f>
        <v/>
      </c>
      <c r="V8" s="8" t="inlineStr"/>
    </row>
    <row r="9">
      <c r="A9" s="7" t="n">
        <v>5</v>
      </c>
      <c r="B9" s="8" t="inlineStr">
        <is>
          <t>Taman Puncak Tropicana Ph3</t>
        </is>
      </c>
      <c r="C9" s="9" t="n">
        <v>45861</v>
      </c>
      <c r="D9" s="10" t="n">
        <v>132</v>
      </c>
      <c r="E9" s="7" t="inlineStr">
        <is>
          <t>30622-3</t>
        </is>
      </c>
      <c r="F9" s="8" t="inlineStr">
        <is>
          <t>KSL MEDINI DEVELOPMENT SDN. BHD.</t>
        </is>
      </c>
      <c r="G9" s="10" t="n"/>
      <c r="H9" s="10" t="n">
        <v>119</v>
      </c>
      <c r="I9" s="11">
        <f>H9/$D$9</f>
        <v/>
      </c>
      <c r="J9" s="10">
        <f>K9-H9</f>
        <v/>
      </c>
      <c r="K9" s="10" t="n">
        <v>119</v>
      </c>
      <c r="L9" s="11">
        <f>K9/$D$9</f>
        <v/>
      </c>
      <c r="M9" s="10">
        <f>N9-K9</f>
        <v/>
      </c>
      <c r="N9" s="10" t="n">
        <v>119</v>
      </c>
      <c r="O9" s="11">
        <f>N9/$D$9</f>
        <v/>
      </c>
      <c r="P9" s="10">
        <f>Q9-N9</f>
        <v/>
      </c>
      <c r="Q9" s="10" t="n">
        <v>121</v>
      </c>
      <c r="R9" s="11">
        <f>Q9/$D$9</f>
        <v/>
      </c>
      <c r="S9" s="12">
        <f>T9-Q9</f>
        <v/>
      </c>
      <c r="T9" s="12" t="n">
        <v>121</v>
      </c>
      <c r="U9" s="13">
        <f>T9/$D$9</f>
        <v/>
      </c>
      <c r="V9" s="8" t="inlineStr"/>
    </row>
    <row r="10">
      <c r="A10" s="7" t="n">
        <v>6</v>
      </c>
      <c r="B10" s="8" t="inlineStr">
        <is>
          <t>Taman Puncak Tropicana Ph4</t>
        </is>
      </c>
      <c r="C10" s="9" t="n">
        <v>45926</v>
      </c>
      <c r="D10" s="10" t="n">
        <v>129</v>
      </c>
      <c r="E10" s="7" t="inlineStr">
        <is>
          <t>30622-4</t>
        </is>
      </c>
      <c r="F10" s="8" t="inlineStr">
        <is>
          <t>KSL MEDINI DEVELOPMENT SDN. BHD.</t>
        </is>
      </c>
      <c r="G10" s="10" t="n"/>
      <c r="H10" s="10" t="n">
        <v>100</v>
      </c>
      <c r="I10" s="11">
        <f>H10/$D$10</f>
        <v/>
      </c>
      <c r="J10" s="10">
        <f>K10-H10</f>
        <v/>
      </c>
      <c r="K10" s="10" t="n">
        <v>101</v>
      </c>
      <c r="L10" s="11">
        <f>K10/$D$10</f>
        <v/>
      </c>
      <c r="M10" s="10">
        <f>N10-K10</f>
        <v/>
      </c>
      <c r="N10" s="10" t="n">
        <v>100</v>
      </c>
      <c r="O10" s="11">
        <f>N10/$D$10</f>
        <v/>
      </c>
      <c r="P10" s="10">
        <f>Q10-N10</f>
        <v/>
      </c>
      <c r="Q10" s="10" t="n">
        <v>101</v>
      </c>
      <c r="R10" s="11">
        <f>Q10/$D$10</f>
        <v/>
      </c>
      <c r="S10" s="12">
        <f>T10-Q10</f>
        <v/>
      </c>
      <c r="T10" s="12" t="n">
        <v>102</v>
      </c>
      <c r="U10" s="13">
        <f>T10/$D$10</f>
        <v/>
      </c>
      <c r="V10" s="8" t="inlineStr"/>
    </row>
    <row r="11">
      <c r="A11" s="7" t="n">
        <v>7</v>
      </c>
      <c r="B11" s="8" t="inlineStr">
        <is>
          <t>Maple Residences @ Bandar Bestari Klang</t>
        </is>
      </c>
      <c r="C11" s="9" t="n">
        <v>46163</v>
      </c>
      <c r="D11" s="10" t="n">
        <v>733</v>
      </c>
      <c r="E11" s="7" t="inlineStr">
        <is>
          <t>31041-1</t>
        </is>
      </c>
      <c r="F11" s="8" t="inlineStr">
        <is>
          <t>KSL BESTARI SDN. BHD.</t>
        </is>
      </c>
      <c r="G11" s="10" t="n"/>
      <c r="H11" s="10" t="n">
        <v>49</v>
      </c>
      <c r="I11" s="11">
        <f>H11/$D$11</f>
        <v/>
      </c>
      <c r="J11" s="10">
        <f>K11-H11</f>
        <v/>
      </c>
      <c r="K11" s="10" t="n">
        <v>54</v>
      </c>
      <c r="L11" s="11">
        <f>K11/$D$11</f>
        <v/>
      </c>
      <c r="M11" s="10">
        <f>N11-K11</f>
        <v/>
      </c>
      <c r="N11" s="10" t="n">
        <v>55</v>
      </c>
      <c r="O11" s="11">
        <f>N11/$D$11</f>
        <v/>
      </c>
      <c r="P11" s="10">
        <f>Q11-N11</f>
        <v/>
      </c>
      <c r="Q11" s="10" t="n">
        <v>58</v>
      </c>
      <c r="R11" s="11">
        <f>Q11/$D$11</f>
        <v/>
      </c>
      <c r="S11" s="12">
        <f>T11-Q11</f>
        <v/>
      </c>
      <c r="T11" s="12" t="n">
        <v>58</v>
      </c>
      <c r="U11" s="13">
        <f>T11/$D$11</f>
        <v/>
      </c>
      <c r="V11" s="8" t="inlineStr">
        <is>
          <t>Latest sales - Block A: 58 units</t>
        </is>
      </c>
    </row>
    <row r="12">
      <c r="A12" s="7" t="n">
        <v>8</v>
      </c>
      <c r="B12" s="8" t="inlineStr">
        <is>
          <t>Riveria Elora @ Wawari</t>
        </is>
      </c>
      <c r="C12" s="9" t="n">
        <v>46087</v>
      </c>
      <c r="D12" s="10" t="n">
        <v>230</v>
      </c>
      <c r="E12" s="7" t="inlineStr">
        <is>
          <t>31063-1</t>
        </is>
      </c>
      <c r="F12" s="8" t="inlineStr">
        <is>
          <t>WAWARI SDN. BHD.</t>
        </is>
      </c>
      <c r="G12" s="10" t="n"/>
      <c r="H12" s="10" t="n">
        <v>62</v>
      </c>
      <c r="I12" s="11">
        <f>H12/$D$12</f>
        <v/>
      </c>
      <c r="J12" s="10">
        <f>K12-H12</f>
        <v/>
      </c>
      <c r="K12" s="10" t="n">
        <v>62</v>
      </c>
      <c r="L12" s="11">
        <f>K12/$D$12</f>
        <v/>
      </c>
      <c r="M12" s="10">
        <f>N12-K12</f>
        <v/>
      </c>
      <c r="N12" s="10" t="n">
        <v>65</v>
      </c>
      <c r="O12" s="11">
        <f>N12/$D$12</f>
        <v/>
      </c>
      <c r="P12" s="10">
        <f>Q12-N12</f>
        <v/>
      </c>
      <c r="Q12" s="10" t="n">
        <v>68</v>
      </c>
      <c r="R12" s="11">
        <f>Q12/$D$12</f>
        <v/>
      </c>
      <c r="S12" s="12">
        <f>T12-Q12</f>
        <v/>
      </c>
      <c r="T12" s="12" t="n">
        <v>69</v>
      </c>
      <c r="U12" s="13">
        <f>T12/$D$12</f>
        <v/>
      </c>
      <c r="V12" s="8" t="inlineStr"/>
    </row>
    <row r="13">
      <c r="A13" s="7" t="n">
        <v>9</v>
      </c>
      <c r="B13" s="8" t="inlineStr">
        <is>
          <t>Riveria Aluna @ Wawari</t>
        </is>
      </c>
      <c r="C13" s="9" t="n">
        <v>46087</v>
      </c>
      <c r="D13" s="10" t="n">
        <v>265</v>
      </c>
      <c r="E13" s="7" t="inlineStr">
        <is>
          <t>31063-2</t>
        </is>
      </c>
      <c r="F13" s="8" t="inlineStr">
        <is>
          <t>WAWARI SDN. BHD.</t>
        </is>
      </c>
      <c r="G13" s="10" t="n"/>
      <c r="H13" s="10" t="n">
        <v>265</v>
      </c>
      <c r="I13" s="11">
        <f>H13/$D$13</f>
        <v/>
      </c>
      <c r="J13" s="10">
        <f>K13-H13</f>
        <v/>
      </c>
      <c r="K13" s="10" t="n">
        <v>265</v>
      </c>
      <c r="L13" s="11">
        <f>K13/$D$13</f>
        <v/>
      </c>
      <c r="M13" s="10">
        <f>N13-K13</f>
        <v/>
      </c>
      <c r="N13" s="10" t="n">
        <v>265</v>
      </c>
      <c r="O13" s="11">
        <f>N13/$D$13</f>
        <v/>
      </c>
      <c r="P13" s="10">
        <f>Q13-N13</f>
        <v/>
      </c>
      <c r="Q13" s="10" t="n">
        <v>265</v>
      </c>
      <c r="R13" s="11">
        <f>Q13/$D$13</f>
        <v/>
      </c>
      <c r="S13" s="12">
        <f>T13-Q13</f>
        <v/>
      </c>
      <c r="T13" s="12" t="n">
        <v>265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Riveria Aluna @ Wawari Ph2</t>
        </is>
      </c>
      <c r="C14" s="9" t="n">
        <v>46087</v>
      </c>
      <c r="D14" s="10" t="n">
        <v>265</v>
      </c>
      <c r="E14" s="7" t="inlineStr">
        <is>
          <t>31063-3</t>
        </is>
      </c>
      <c r="F14" s="8" t="inlineStr">
        <is>
          <t>WAWARI SDN. BHD.</t>
        </is>
      </c>
      <c r="G14" s="10" t="n"/>
      <c r="H14" s="10" t="n">
        <v>265</v>
      </c>
      <c r="I14" s="11">
        <f>H14/$D$14</f>
        <v/>
      </c>
      <c r="J14" s="10">
        <f>K14-H14</f>
        <v/>
      </c>
      <c r="K14" s="10" t="n">
        <v>265</v>
      </c>
      <c r="L14" s="11">
        <f>K14/$D$14</f>
        <v/>
      </c>
      <c r="M14" s="10">
        <f>N14-K14</f>
        <v/>
      </c>
      <c r="N14" s="10" t="n">
        <v>265</v>
      </c>
      <c r="O14" s="11">
        <f>N14/$D$14</f>
        <v/>
      </c>
      <c r="P14" s="10">
        <f>Q14-N14</f>
        <v/>
      </c>
      <c r="Q14" s="10" t="n">
        <v>265</v>
      </c>
      <c r="R14" s="11">
        <f>Q14/$D$14</f>
        <v/>
      </c>
      <c r="S14" s="12">
        <f>T14-Q14</f>
        <v/>
      </c>
      <c r="T14" s="12" t="n">
        <v>265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Riverhaus @ Wawari</t>
        </is>
      </c>
      <c r="C15" s="9" t="n">
        <v>46212</v>
      </c>
      <c r="D15" s="10" t="n">
        <v>1022</v>
      </c>
      <c r="E15" s="7" t="inlineStr">
        <is>
          <t>31063-4</t>
        </is>
      </c>
      <c r="F15" s="8" t="inlineStr">
        <is>
          <t>WAWARI SDN. BHD.</t>
        </is>
      </c>
      <c r="G15" s="10" t="n"/>
      <c r="H15" s="10" t="n">
        <v>205</v>
      </c>
      <c r="I15" s="11">
        <f>H15/$D$15</f>
        <v/>
      </c>
      <c r="J15" s="10">
        <f>K15-H15</f>
        <v/>
      </c>
      <c r="K15" s="10" t="n">
        <v>207</v>
      </c>
      <c r="L15" s="11">
        <f>K15/$D$15</f>
        <v/>
      </c>
      <c r="M15" s="10">
        <f>N15-K15</f>
        <v/>
      </c>
      <c r="N15" s="10" t="n">
        <v>265</v>
      </c>
      <c r="O15" s="11">
        <f>N15/$D$15</f>
        <v/>
      </c>
      <c r="P15" s="10">
        <f>Q15-N15</f>
        <v/>
      </c>
      <c r="Q15" s="10" t="n">
        <v>326</v>
      </c>
      <c r="R15" s="11">
        <f>Q15/$D$15</f>
        <v/>
      </c>
      <c r="S15" s="12">
        <f>T15-Q15</f>
        <v/>
      </c>
      <c r="T15" s="12" t="n">
        <v>387</v>
      </c>
      <c r="U15" s="13">
        <f>T15/$D$15</f>
        <v/>
      </c>
      <c r="V15" s="8" t="inlineStr">
        <is>
          <t>Latest sales - Block A: 190 units, Block B: 197 units</t>
        </is>
      </c>
    </row>
    <row r="16">
      <c r="A16" s="7" t="n">
        <v>12</v>
      </c>
      <c r="B16" s="8" t="inlineStr">
        <is>
          <t>Riverhaus @ Wawari Ph2</t>
        </is>
      </c>
      <c r="C16" s="9" t="n">
        <v>46212</v>
      </c>
      <c r="D16" s="10" t="n">
        <v>1138</v>
      </c>
      <c r="E16" s="7" t="inlineStr">
        <is>
          <t>31063-5</t>
        </is>
      </c>
      <c r="F16" s="8" t="inlineStr">
        <is>
          <t>WAWARI SDN. BHD.</t>
        </is>
      </c>
      <c r="G16" s="10" t="n"/>
      <c r="H16" s="10" t="n">
        <v>30</v>
      </c>
      <c r="I16" s="11">
        <f>H16/$D$16</f>
        <v/>
      </c>
      <c r="J16" s="10">
        <f>K16-H16</f>
        <v/>
      </c>
      <c r="K16" s="10" t="n">
        <v>39</v>
      </c>
      <c r="L16" s="11">
        <f>K16/$D$16</f>
        <v/>
      </c>
      <c r="M16" s="10">
        <f>N16-K16</f>
        <v/>
      </c>
      <c r="N16" s="10" t="n">
        <v>54</v>
      </c>
      <c r="O16" s="11">
        <f>N16/$D$16</f>
        <v/>
      </c>
      <c r="P16" s="10">
        <f>Q16-N16</f>
        <v/>
      </c>
      <c r="Q16" s="10" t="n">
        <v>61</v>
      </c>
      <c r="R16" s="11">
        <f>Q16/$D$16</f>
        <v/>
      </c>
      <c r="S16" s="12">
        <f>T16-Q16</f>
        <v/>
      </c>
      <c r="T16" s="12" t="n">
        <v>98</v>
      </c>
      <c r="U16" s="13">
        <f>T16/$D$16</f>
        <v/>
      </c>
      <c r="V16" s="8" t="inlineStr">
        <is>
          <t>Latest sales - Block C: 98 units</t>
        </is>
      </c>
    </row>
    <row r="17">
      <c r="A17" s="7" t="n">
        <v>13</v>
      </c>
      <c r="B17" s="8" t="inlineStr">
        <is>
          <t>Taman Bintang 2</t>
        </is>
      </c>
      <c r="C17" s="9" t="n">
        <v>39062</v>
      </c>
      <c r="D17" s="10" t="n">
        <v>71</v>
      </c>
      <c r="E17" s="7" t="inlineStr">
        <is>
          <t>3390-38</t>
        </is>
      </c>
      <c r="F17" s="8" t="inlineStr">
        <is>
          <t>KHOO SOON LEE REALTY SDN. BHD.</t>
        </is>
      </c>
      <c r="G17" s="10" t="n"/>
      <c r="H17" s="10" t="n">
        <v>0</v>
      </c>
      <c r="I17" s="11">
        <f>H17/$D$17</f>
        <v/>
      </c>
      <c r="J17" s="10">
        <f>K17-H17</f>
        <v/>
      </c>
      <c r="K17" s="10" t="n">
        <v>0</v>
      </c>
      <c r="L17" s="11">
        <f>K17/$D$17</f>
        <v/>
      </c>
      <c r="M17" s="10">
        <f>N17-K17</f>
        <v/>
      </c>
      <c r="N17" s="10" t="n">
        <v>0</v>
      </c>
      <c r="O17" s="11">
        <f>N17/$D$17</f>
        <v/>
      </c>
      <c r="P17" s="10">
        <f>Q17-N17</f>
        <v/>
      </c>
      <c r="Q17" s="10" t="n">
        <v>0</v>
      </c>
      <c r="R17" s="11">
        <f>Q17/$D$17</f>
        <v/>
      </c>
      <c r="S17" s="12">
        <f>T17-Q17</f>
        <v/>
      </c>
      <c r="T17" s="12" t="n">
        <v>0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D'Secret Garden 2 @ Kempas Indah</t>
        </is>
      </c>
      <c r="C18" s="9" t="n">
        <v>44315</v>
      </c>
      <c r="D18" s="10" t="n">
        <v>1688</v>
      </c>
      <c r="E18" s="7" t="inlineStr">
        <is>
          <t>3390-71</t>
        </is>
      </c>
      <c r="F18" s="8" t="inlineStr">
        <is>
          <t>KHOO SOON LEE REALTY SDN. BHD.</t>
        </is>
      </c>
      <c r="G18" s="10" t="n"/>
      <c r="H18" s="10" t="n">
        <v>1011</v>
      </c>
      <c r="I18" s="11">
        <f>H18/$D$18</f>
        <v/>
      </c>
      <c r="J18" s="10">
        <f>K18-H18</f>
        <v/>
      </c>
      <c r="K18" s="10" t="n">
        <v>1017</v>
      </c>
      <c r="L18" s="11">
        <f>K18/$D$18</f>
        <v/>
      </c>
      <c r="M18" s="10">
        <f>N18-K18</f>
        <v/>
      </c>
      <c r="N18" s="10" t="n">
        <v>1018</v>
      </c>
      <c r="O18" s="11">
        <f>N18/$D$18</f>
        <v/>
      </c>
      <c r="P18" s="10">
        <f>Q18-N18</f>
        <v/>
      </c>
      <c r="Q18" s="10" t="n">
        <v>1020</v>
      </c>
      <c r="R18" s="11">
        <f>Q18/$D$18</f>
        <v/>
      </c>
      <c r="S18" s="12">
        <f>T18-Q18</f>
        <v/>
      </c>
      <c r="T18" s="12" t="n">
        <v>1023</v>
      </c>
      <c r="U18" s="13">
        <f>T18/$D$18</f>
        <v/>
      </c>
      <c r="V18" s="8" t="inlineStr">
        <is>
          <t>Latest sales - Block A: 373 units, Block A1: 302 units, Block B: 348 units</t>
        </is>
      </c>
    </row>
    <row r="19">
      <c r="A19" s="7" t="n">
        <v>15</v>
      </c>
      <c r="B19" s="8" t="inlineStr">
        <is>
          <t>KSL Raintree Residences @ Bandar Bestari</t>
        </is>
      </c>
      <c r="C19" s="9" t="n">
        <v>45167</v>
      </c>
      <c r="D19" s="10" t="n">
        <v>612</v>
      </c>
      <c r="E19" s="7" t="inlineStr">
        <is>
          <t>3390-77</t>
        </is>
      </c>
      <c r="F19" s="8" t="inlineStr">
        <is>
          <t>KHOO SOON LEE REALTY SDN. BHD.</t>
        </is>
      </c>
      <c r="G19" s="10" t="n"/>
      <c r="H19" s="10" t="n">
        <v>44</v>
      </c>
      <c r="I19" s="11">
        <f>H19/$D$19</f>
        <v/>
      </c>
      <c r="J19" s="10">
        <f>K19-H19</f>
        <v/>
      </c>
      <c r="K19" s="10" t="n">
        <v>46</v>
      </c>
      <c r="L19" s="11">
        <f>K19/$D$19</f>
        <v/>
      </c>
      <c r="M19" s="10">
        <f>N19-K19</f>
        <v/>
      </c>
      <c r="N19" s="10" t="n">
        <v>49</v>
      </c>
      <c r="O19" s="11">
        <f>N19/$D$19</f>
        <v/>
      </c>
      <c r="P19" s="10">
        <f>Q19-N19</f>
        <v/>
      </c>
      <c r="Q19" s="10" t="n">
        <v>49</v>
      </c>
      <c r="R19" s="11">
        <f>Q19/$D$19</f>
        <v/>
      </c>
      <c r="S19" s="12">
        <f>T19-Q19</f>
        <v/>
      </c>
      <c r="T19" s="12" t="n">
        <v>50</v>
      </c>
      <c r="U19" s="13">
        <f>T19/$D$19</f>
        <v/>
      </c>
      <c r="V19" s="8" t="inlineStr">
        <is>
          <t>Latest sales - Block A: 34 units, Block B: 13 units, Block C: 3 units</t>
        </is>
      </c>
    </row>
    <row r="20">
      <c r="A20" s="7" t="n">
        <v>16</v>
      </c>
      <c r="B20" s="8" t="inlineStr">
        <is>
          <t>Aurora @ Bestari Indah</t>
        </is>
      </c>
      <c r="C20" s="9" t="n">
        <v>45418</v>
      </c>
      <c r="D20" s="10" t="n">
        <v>181</v>
      </c>
      <c r="E20" s="7" t="inlineStr">
        <is>
          <t>3390-78</t>
        </is>
      </c>
      <c r="F20" s="8" t="inlineStr">
        <is>
          <t>KHOO SOON LEE REALTY SDN. BHD.</t>
        </is>
      </c>
      <c r="G20" s="10" t="n"/>
      <c r="H20" s="10" t="n">
        <v>112</v>
      </c>
      <c r="I20" s="11">
        <f>H20/$D$20</f>
        <v/>
      </c>
      <c r="J20" s="10">
        <f>K20-H20</f>
        <v/>
      </c>
      <c r="K20" s="10" t="n">
        <v>112</v>
      </c>
      <c r="L20" s="11">
        <f>K20/$D$20</f>
        <v/>
      </c>
      <c r="M20" s="10">
        <f>N20-K20</f>
        <v/>
      </c>
      <c r="N20" s="10" t="n">
        <v>112</v>
      </c>
      <c r="O20" s="11">
        <f>N20/$D$20</f>
        <v/>
      </c>
      <c r="P20" s="10">
        <f>Q20-N20</f>
        <v/>
      </c>
      <c r="Q20" s="10" t="n">
        <v>112</v>
      </c>
      <c r="R20" s="11">
        <f>Q20/$D$20</f>
        <v/>
      </c>
      <c r="S20" s="12">
        <f>T20-Q20</f>
        <v/>
      </c>
      <c r="T20" s="12" t="n">
        <v>112</v>
      </c>
      <c r="U20" s="13">
        <f>T20/$D$20</f>
        <v/>
      </c>
      <c r="V20" s="8" t="inlineStr"/>
    </row>
    <row r="21">
      <c r="A21" s="7" t="n">
        <v>17</v>
      </c>
      <c r="B21" s="8" t="inlineStr">
        <is>
          <t>Aurora @ Bestari Indah</t>
        </is>
      </c>
      <c r="C21" s="9" t="n">
        <v>45495</v>
      </c>
      <c r="D21" s="10" t="n">
        <v>217</v>
      </c>
      <c r="E21" s="7" t="inlineStr">
        <is>
          <t>3390-79</t>
        </is>
      </c>
      <c r="F21" s="8" t="inlineStr">
        <is>
          <t>KHOO SOON LEE REALTY SDN. BHD.</t>
        </is>
      </c>
      <c r="G21" s="10" t="n"/>
      <c r="H21" s="10" t="n">
        <v>85</v>
      </c>
      <c r="I21" s="11">
        <f>H21/$D$21</f>
        <v/>
      </c>
      <c r="J21" s="10">
        <f>K21-H21</f>
        <v/>
      </c>
      <c r="K21" s="10" t="n">
        <v>85</v>
      </c>
      <c r="L21" s="11">
        <f>K21/$D$21</f>
        <v/>
      </c>
      <c r="M21" s="10">
        <f>N21-K21</f>
        <v/>
      </c>
      <c r="N21" s="10" t="n">
        <v>85</v>
      </c>
      <c r="O21" s="11">
        <f>N21/$D$21</f>
        <v/>
      </c>
      <c r="P21" s="10">
        <f>Q21-N21</f>
        <v/>
      </c>
      <c r="Q21" s="10" t="n">
        <v>85</v>
      </c>
      <c r="R21" s="11">
        <f>Q21/$D$21</f>
        <v/>
      </c>
      <c r="S21" s="12">
        <f>T21-Q21</f>
        <v/>
      </c>
      <c r="T21" s="12" t="n">
        <v>85</v>
      </c>
      <c r="U21" s="13">
        <f>T21/$D$21</f>
        <v/>
      </c>
      <c r="V21" s="8" t="inlineStr"/>
    </row>
    <row r="22">
      <c r="A22" s="7" t="n">
        <v>18</v>
      </c>
      <c r="B22" s="8" t="inlineStr">
        <is>
          <t>D'Secret Garden 2 @ Kempas Indah Ph2</t>
        </is>
      </c>
      <c r="C22" s="9" t="n">
        <v>45813</v>
      </c>
      <c r="D22" s="10" t="n">
        <v>1664</v>
      </c>
      <c r="E22" s="7" t="inlineStr">
        <is>
          <t>3390-80</t>
        </is>
      </c>
      <c r="F22" s="8" t="inlineStr">
        <is>
          <t>KHOO SOON LEE REALTY SDN. BHD.</t>
        </is>
      </c>
      <c r="G22" s="10" t="n"/>
      <c r="H22" s="10" t="n">
        <v>501</v>
      </c>
      <c r="I22" s="11">
        <f>H22/$D$22</f>
        <v/>
      </c>
      <c r="J22" s="10">
        <f>K22-H22</f>
        <v/>
      </c>
      <c r="K22" s="10" t="n">
        <v>505</v>
      </c>
      <c r="L22" s="11">
        <f>K22/$D$22</f>
        <v/>
      </c>
      <c r="M22" s="10">
        <f>N22-K22</f>
        <v/>
      </c>
      <c r="N22" s="10" t="n">
        <v>510</v>
      </c>
      <c r="O22" s="11">
        <f>N22/$D$22</f>
        <v/>
      </c>
      <c r="P22" s="10">
        <f>Q22-N22</f>
        <v/>
      </c>
      <c r="Q22" s="10" t="n">
        <v>511</v>
      </c>
      <c r="R22" s="11">
        <f>Q22/$D$22</f>
        <v/>
      </c>
      <c r="S22" s="12">
        <f>T22-Q22</f>
        <v/>
      </c>
      <c r="T22" s="12" t="n">
        <v>514</v>
      </c>
      <c r="U22" s="13">
        <f>T22/$D$22</f>
        <v/>
      </c>
      <c r="V22" s="8" t="inlineStr">
        <is>
          <t>Latest sales - Block C: 184 units, Block C1: 60 units, Block C2: 270 units</t>
        </is>
      </c>
    </row>
    <row r="23">
      <c r="A23" s="7" t="n">
        <v>19</v>
      </c>
      <c r="B23" s="8" t="inlineStr">
        <is>
          <t>Taman Melati</t>
        </is>
      </c>
      <c r="C23" s="9" t="n">
        <v>45848</v>
      </c>
      <c r="D23" s="10" t="n">
        <v>19</v>
      </c>
      <c r="E23" s="7" t="inlineStr">
        <is>
          <t>3390-81</t>
        </is>
      </c>
      <c r="F23" s="8" t="inlineStr">
        <is>
          <t>KHOO SOON LEE REALTY SDN. BHD.</t>
        </is>
      </c>
      <c r="G23" s="10" t="n"/>
      <c r="H23" s="10" t="n">
        <v>12</v>
      </c>
      <c r="I23" s="11">
        <f>H23/$D$23</f>
        <v/>
      </c>
      <c r="J23" s="10">
        <f>K23-H23</f>
        <v/>
      </c>
      <c r="K23" s="10" t="n">
        <v>12</v>
      </c>
      <c r="L23" s="11">
        <f>K23/$D$23</f>
        <v/>
      </c>
      <c r="M23" s="10">
        <f>N23-K23</f>
        <v/>
      </c>
      <c r="N23" s="10" t="n">
        <v>12</v>
      </c>
      <c r="O23" s="11">
        <f>N23/$D$23</f>
        <v/>
      </c>
      <c r="P23" s="10">
        <f>Q23-N23</f>
        <v/>
      </c>
      <c r="Q23" s="10" t="n">
        <v>12</v>
      </c>
      <c r="R23" s="11">
        <f>Q23/$D$23</f>
        <v/>
      </c>
      <c r="S23" s="12">
        <f>T23-Q23</f>
        <v/>
      </c>
      <c r="T23" s="12" t="n">
        <v>12</v>
      </c>
      <c r="U23" s="13">
        <f>T23/$D$23</f>
        <v/>
      </c>
      <c r="V23" s="8" t="inlineStr"/>
    </row>
    <row r="24">
      <c r="A24" s="7" t="n">
        <v>20</v>
      </c>
      <c r="B24" s="8" t="inlineStr">
        <is>
          <t>Aurora @ Bestari Indah</t>
        </is>
      </c>
      <c r="C24" s="9" t="n">
        <v>45853</v>
      </c>
      <c r="D24" s="10" t="n">
        <v>182</v>
      </c>
      <c r="E24" s="7" t="inlineStr">
        <is>
          <t>3390-82</t>
        </is>
      </c>
      <c r="F24" s="8" t="inlineStr">
        <is>
          <t>KHOO SOON LEE REALTY SDN. BHD.</t>
        </is>
      </c>
      <c r="G24" s="10" t="n"/>
      <c r="H24" s="10" t="n">
        <v>50</v>
      </c>
      <c r="I24" s="11">
        <f>H24/$D$24</f>
        <v/>
      </c>
      <c r="J24" s="10">
        <f>K24-H24</f>
        <v/>
      </c>
      <c r="K24" s="10" t="n">
        <v>51</v>
      </c>
      <c r="L24" s="11">
        <f>K24/$D$24</f>
        <v/>
      </c>
      <c r="M24" s="10">
        <f>N24-K24</f>
        <v/>
      </c>
      <c r="N24" s="10" t="n">
        <v>51</v>
      </c>
      <c r="O24" s="11">
        <f>N24/$D$24</f>
        <v/>
      </c>
      <c r="P24" s="10">
        <f>Q24-N24</f>
        <v/>
      </c>
      <c r="Q24" s="10" t="n">
        <v>51</v>
      </c>
      <c r="R24" s="11">
        <f>Q24/$D$24</f>
        <v/>
      </c>
      <c r="S24" s="12">
        <f>T24-Q24</f>
        <v/>
      </c>
      <c r="T24" s="12" t="n">
        <v>52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Jewel Residences @ Plentong</t>
        </is>
      </c>
      <c r="C25" s="9" t="n">
        <v>45894</v>
      </c>
      <c r="D25" s="10" t="n">
        <v>864</v>
      </c>
      <c r="E25" s="7" t="inlineStr">
        <is>
          <t>3390-83</t>
        </is>
      </c>
      <c r="F25" s="8" t="inlineStr">
        <is>
          <t>KHOO SOON LEE REALTY SDN. BHD.</t>
        </is>
      </c>
      <c r="G25" s="10" t="n"/>
      <c r="H25" s="10" t="n">
        <v>141</v>
      </c>
      <c r="I25" s="11">
        <f>H25/$D$25</f>
        <v/>
      </c>
      <c r="J25" s="10">
        <f>K25-H25</f>
        <v/>
      </c>
      <c r="K25" s="10" t="n">
        <v>143</v>
      </c>
      <c r="L25" s="11">
        <f>K25/$D$25</f>
        <v/>
      </c>
      <c r="M25" s="10">
        <f>N25-K25</f>
        <v/>
      </c>
      <c r="N25" s="10" t="n">
        <v>148</v>
      </c>
      <c r="O25" s="11">
        <f>N25/$D$25</f>
        <v/>
      </c>
      <c r="P25" s="10">
        <f>Q25-N25</f>
        <v/>
      </c>
      <c r="Q25" s="10" t="n">
        <v>156</v>
      </c>
      <c r="R25" s="11">
        <f>Q25/$D$25</f>
        <v/>
      </c>
      <c r="S25" s="12">
        <f>T25-Q25</f>
        <v/>
      </c>
      <c r="T25" s="12" t="n">
        <v>160</v>
      </c>
      <c r="U25" s="13">
        <f>T25/$D$25</f>
        <v/>
      </c>
      <c r="V25" s="8" t="inlineStr"/>
    </row>
    <row r="26">
      <c r="A26" s="7" t="n">
        <v>22</v>
      </c>
      <c r="B26" s="8" t="inlineStr">
        <is>
          <t>Taman Rajawali</t>
        </is>
      </c>
      <c r="C26" s="9" t="n">
        <v>45937</v>
      </c>
      <c r="D26" s="10" t="n">
        <v>44</v>
      </c>
      <c r="E26" s="7" t="inlineStr">
        <is>
          <t>3390-84</t>
        </is>
      </c>
      <c r="F26" s="8" t="inlineStr">
        <is>
          <t>KHOO SOON LEE REALTY SDN. BHD.</t>
        </is>
      </c>
      <c r="G26" s="10" t="n"/>
      <c r="H26" s="10" t="n">
        <v>18</v>
      </c>
      <c r="I26" s="11">
        <f>H26/$D$26</f>
        <v/>
      </c>
      <c r="J26" s="10">
        <f>K26-H26</f>
        <v/>
      </c>
      <c r="K26" s="10" t="n">
        <v>18</v>
      </c>
      <c r="L26" s="11">
        <f>K26/$D$26</f>
        <v/>
      </c>
      <c r="M26" s="10">
        <f>N26-K26</f>
        <v/>
      </c>
      <c r="N26" s="10" t="n">
        <v>18</v>
      </c>
      <c r="O26" s="11">
        <f>N26/$D$26</f>
        <v/>
      </c>
      <c r="P26" s="10">
        <f>Q26-N26</f>
        <v/>
      </c>
      <c r="Q26" s="10" t="n">
        <v>19</v>
      </c>
      <c r="R26" s="11">
        <f>Q26/$D$26</f>
        <v/>
      </c>
      <c r="S26" s="12">
        <f>T26-Q26</f>
        <v/>
      </c>
      <c r="T26" s="12" t="n">
        <v>19</v>
      </c>
      <c r="U26" s="13">
        <f>T26/$D$26</f>
        <v/>
      </c>
      <c r="V26" s="8" t="inlineStr"/>
    </row>
    <row r="27">
      <c r="A27" s="7" t="n">
        <v>23</v>
      </c>
      <c r="B27" s="8" t="inlineStr">
        <is>
          <t>Aurora @ Bestari Indah</t>
        </is>
      </c>
      <c r="C27" s="9" t="n">
        <v>46196</v>
      </c>
      <c r="D27" s="10" t="n">
        <v>223</v>
      </c>
      <c r="E27" s="7" t="inlineStr">
        <is>
          <t>3390-85</t>
        </is>
      </c>
      <c r="F27" s="8" t="inlineStr">
        <is>
          <t>KHOO SOON LEE REALTY SDN. BHD.</t>
        </is>
      </c>
      <c r="G27" s="10" t="n"/>
      <c r="H27" s="10" t="n">
        <v>0</v>
      </c>
      <c r="I27" s="11">
        <f>H27/$D$27</f>
        <v/>
      </c>
      <c r="J27" s="10">
        <f>K27-H27</f>
        <v/>
      </c>
      <c r="K27" s="10" t="n">
        <v>0</v>
      </c>
      <c r="L27" s="11">
        <f>K27/$D$27</f>
        <v/>
      </c>
      <c r="M27" s="10">
        <f>N27-K27</f>
        <v/>
      </c>
      <c r="N27" s="10" t="n">
        <v>0</v>
      </c>
      <c r="O27" s="11">
        <f>N27/$D$27</f>
        <v/>
      </c>
      <c r="P27" s="10">
        <f>Q27-N27</f>
        <v/>
      </c>
      <c r="Q27" s="10" t="n">
        <v>0</v>
      </c>
      <c r="R27" s="11">
        <f>Q27/$D$27</f>
        <v/>
      </c>
      <c r="S27" s="12">
        <f>T27-Q27</f>
        <v/>
      </c>
      <c r="T27" s="12" t="n">
        <v>1</v>
      </c>
      <c r="U27" s="13">
        <f>T27/$D$27</f>
        <v/>
      </c>
      <c r="V27" s="8" t="inlineStr"/>
    </row>
    <row r="28">
      <c r="A28" s="7" t="n">
        <v>24</v>
      </c>
      <c r="B28" s="8" t="inlineStr">
        <is>
          <t>Mutiara Bestari @ Iskandar Puteri</t>
        </is>
      </c>
      <c r="C28" s="9" t="n">
        <v>46244</v>
      </c>
      <c r="D28" s="10" t="n">
        <v>176</v>
      </c>
      <c r="E28" s="7" t="inlineStr">
        <is>
          <t>3390-86</t>
        </is>
      </c>
      <c r="F28" s="8" t="inlineStr">
        <is>
          <t>KHOO SOON LEE REALTY SDN. BHD.</t>
        </is>
      </c>
      <c r="G28" s="10" t="n"/>
      <c r="H28" s="10" t="n">
        <v>0</v>
      </c>
      <c r="I28" s="11">
        <f>H28/$D$28</f>
        <v/>
      </c>
      <c r="J28" s="10">
        <f>K28-H28</f>
        <v/>
      </c>
      <c r="K28" s="10" t="n">
        <v>0</v>
      </c>
      <c r="L28" s="11">
        <f>K28/$D$28</f>
        <v/>
      </c>
      <c r="M28" s="10">
        <f>N28-K28</f>
        <v/>
      </c>
      <c r="N28" s="10" t="n">
        <v>0</v>
      </c>
      <c r="O28" s="11">
        <f>N28/$D$28</f>
        <v/>
      </c>
      <c r="P28" s="10">
        <f>Q28-N28</f>
        <v/>
      </c>
      <c r="Q28" s="10" t="n">
        <v>0</v>
      </c>
      <c r="R28" s="11">
        <f>Q28/$D$28</f>
        <v/>
      </c>
      <c r="S28" s="12">
        <f>T28-Q28</f>
        <v/>
      </c>
      <c r="T28" s="12" t="n">
        <v>0</v>
      </c>
      <c r="U28" s="13">
        <f>T28/$D$28</f>
        <v/>
      </c>
      <c r="V28" s="8" t="inlineStr"/>
    </row>
    <row r="29">
      <c r="A29" s="7" t="n">
        <v>25</v>
      </c>
      <c r="B29" s="8" t="inlineStr">
        <is>
          <t>Pulai Bestari (Cluster/Semi-D) @ Skudai</t>
        </is>
      </c>
      <c r="C29" s="9" t="n">
        <v>45880</v>
      </c>
      <c r="D29" s="10" t="n">
        <v>240</v>
      </c>
      <c r="E29" s="7" t="inlineStr">
        <is>
          <t>4204-16</t>
        </is>
      </c>
      <c r="F29" s="8" t="inlineStr">
        <is>
          <t>BINTANG-BINTANG DEVELOPMENT SDN.BHD</t>
        </is>
      </c>
      <c r="G29" s="10" t="n"/>
      <c r="H29" s="10" t="n">
        <v>123</v>
      </c>
      <c r="I29" s="11">
        <f>H29/$D$29</f>
        <v/>
      </c>
      <c r="J29" s="10">
        <f>K29-H29</f>
        <v/>
      </c>
      <c r="K29" s="10" t="n">
        <v>123</v>
      </c>
      <c r="L29" s="11">
        <f>K29/$D$29</f>
        <v/>
      </c>
      <c r="M29" s="10">
        <f>N29-K29</f>
        <v/>
      </c>
      <c r="N29" s="10" t="n">
        <v>123</v>
      </c>
      <c r="O29" s="11">
        <f>N29/$D$29</f>
        <v/>
      </c>
      <c r="P29" s="10">
        <f>Q29-N29</f>
        <v/>
      </c>
      <c r="Q29" s="10" t="n">
        <v>123</v>
      </c>
      <c r="R29" s="11">
        <f>Q29/$D$29</f>
        <v/>
      </c>
      <c r="S29" s="12">
        <f>T29-Q29</f>
        <v/>
      </c>
      <c r="T29" s="12" t="n">
        <v>123</v>
      </c>
      <c r="U29" s="13">
        <f>T29/$D$29</f>
        <v/>
      </c>
      <c r="V29" s="8" t="inlineStr"/>
    </row>
    <row r="30">
      <c r="A30" s="7" t="n">
        <v>26</v>
      </c>
      <c r="B30" s="8" t="inlineStr">
        <is>
          <t>Pulai Bestari 22x70/32x70 @ Skudai</t>
        </is>
      </c>
      <c r="C30" s="9" t="n">
        <v>46083</v>
      </c>
      <c r="D30" s="10" t="n">
        <v>196</v>
      </c>
      <c r="E30" s="7" t="inlineStr">
        <is>
          <t>4204-17</t>
        </is>
      </c>
      <c r="F30" s="8" t="inlineStr">
        <is>
          <t>BINTANG-BINTANG DEVELOPMENT SDN.BHD</t>
        </is>
      </c>
      <c r="G30" s="10" t="n"/>
      <c r="H30" s="10" t="n">
        <v>8</v>
      </c>
      <c r="I30" s="11">
        <f>H30/$D$30</f>
        <v/>
      </c>
      <c r="J30" s="10">
        <f>K30-H30</f>
        <v/>
      </c>
      <c r="K30" s="10" t="n">
        <v>9</v>
      </c>
      <c r="L30" s="11">
        <f>K30/$D$30</f>
        <v/>
      </c>
      <c r="M30" s="10">
        <f>N30-K30</f>
        <v/>
      </c>
      <c r="N30" s="10" t="n">
        <v>12</v>
      </c>
      <c r="O30" s="11">
        <f>N30/$D$30</f>
        <v/>
      </c>
      <c r="P30" s="10">
        <f>Q30-N30</f>
        <v/>
      </c>
      <c r="Q30" s="10" t="n">
        <v>15</v>
      </c>
      <c r="R30" s="11">
        <f>Q30/$D$30</f>
        <v/>
      </c>
      <c r="S30" s="12">
        <f>T30-Q30</f>
        <v/>
      </c>
      <c r="T30" s="12" t="n">
        <v>15</v>
      </c>
      <c r="U30" s="13">
        <f>T30/$D$30</f>
        <v/>
      </c>
      <c r="V30" s="8" t="inlineStr"/>
    </row>
    <row r="31">
      <c r="A31" s="7" t="n">
        <v>27</v>
      </c>
      <c r="B31" s="8" t="inlineStr">
        <is>
          <t>Taman Bahagia</t>
        </is>
      </c>
      <c r="C31" s="9" t="n">
        <v>38503</v>
      </c>
      <c r="D31" s="10" t="n">
        <v>32</v>
      </c>
      <c r="E31" s="7" t="inlineStr">
        <is>
          <t>4706-6</t>
        </is>
      </c>
      <c r="F31" s="8" t="inlineStr">
        <is>
          <t>HARAPAN TERANG SDN. BHD.</t>
        </is>
      </c>
      <c r="G31" s="10" t="n"/>
      <c r="H31" s="10" t="n">
        <v>0</v>
      </c>
      <c r="I31" s="11">
        <f>H31/$D$31</f>
        <v/>
      </c>
      <c r="J31" s="10">
        <f>K31-H31</f>
        <v/>
      </c>
      <c r="K31" s="10" t="n">
        <v>0</v>
      </c>
      <c r="L31" s="11">
        <f>K31/$D$31</f>
        <v/>
      </c>
      <c r="M31" s="10">
        <f>N31-K31</f>
        <v/>
      </c>
      <c r="N31" s="10" t="n">
        <v>0</v>
      </c>
      <c r="O31" s="11">
        <f>N31/$D$31</f>
        <v/>
      </c>
      <c r="P31" s="10">
        <f>Q31-N31</f>
        <v/>
      </c>
      <c r="Q31" s="10" t="n">
        <v>0</v>
      </c>
      <c r="R31" s="11">
        <f>Q31/$D$31</f>
        <v/>
      </c>
      <c r="S31" s="12">
        <f>T31-Q31</f>
        <v/>
      </c>
      <c r="T31" s="12" t="n">
        <v>0</v>
      </c>
      <c r="U31" s="13">
        <f>T31/$D$31</f>
        <v/>
      </c>
      <c r="V31" s="8" t="inlineStr"/>
    </row>
    <row r="32">
      <c r="A32" s="7" t="n">
        <v>28</v>
      </c>
      <c r="B32" s="8" t="inlineStr">
        <is>
          <t>Taman Pengkalan Esah</t>
        </is>
      </c>
      <c r="C32" s="9" t="n">
        <v>45853</v>
      </c>
      <c r="D32" s="10" t="n">
        <v>45</v>
      </c>
      <c r="E32" s="7" t="inlineStr">
        <is>
          <t>5192-10</t>
        </is>
      </c>
      <c r="F32" s="8" t="inlineStr">
        <is>
          <t>SEJOTA SDN. BHD.</t>
        </is>
      </c>
      <c r="G32" s="10" t="n"/>
      <c r="H32" s="10" t="n">
        <v>20</v>
      </c>
      <c r="I32" s="11">
        <f>H32/$D$32</f>
        <v/>
      </c>
      <c r="J32" s="10">
        <f>K32-H32</f>
        <v/>
      </c>
      <c r="K32" s="10" t="n">
        <v>20</v>
      </c>
      <c r="L32" s="11">
        <f>K32/$D$32</f>
        <v/>
      </c>
      <c r="M32" s="10">
        <f>N32-K32</f>
        <v/>
      </c>
      <c r="N32" s="10" t="n">
        <v>20</v>
      </c>
      <c r="O32" s="11">
        <f>N32/$D$32</f>
        <v/>
      </c>
      <c r="P32" s="10">
        <f>Q32-N32</f>
        <v/>
      </c>
      <c r="Q32" s="10" t="n">
        <v>20</v>
      </c>
      <c r="R32" s="11">
        <f>Q32/$D$32</f>
        <v/>
      </c>
      <c r="S32" s="12">
        <f>T32-Q32</f>
        <v/>
      </c>
      <c r="T32" s="12" t="n">
        <v>20</v>
      </c>
      <c r="U32" s="13">
        <f>T32/$D$32</f>
        <v/>
      </c>
      <c r="V32" s="8" t="inlineStr"/>
    </row>
    <row r="33">
      <c r="A33" s="7" t="n">
        <v>29</v>
      </c>
      <c r="B33" s="8" t="inlineStr">
        <is>
          <t>Taman Pesona</t>
        </is>
      </c>
      <c r="C33" s="9" t="n">
        <v>45590</v>
      </c>
      <c r="D33" s="10" t="n">
        <v>61</v>
      </c>
      <c r="E33" s="7" t="inlineStr">
        <is>
          <t>5192-9</t>
        </is>
      </c>
      <c r="F33" s="8" t="inlineStr">
        <is>
          <t>SEJOTA SDN. BHD.</t>
        </is>
      </c>
      <c r="G33" s="10" t="n"/>
      <c r="H33" s="10" t="n">
        <v>7</v>
      </c>
      <c r="I33" s="11">
        <f>H33/$D$33</f>
        <v/>
      </c>
      <c r="J33" s="10">
        <f>K33-H33</f>
        <v/>
      </c>
      <c r="K33" s="10" t="n">
        <v>7</v>
      </c>
      <c r="L33" s="11">
        <f>K33/$D$33</f>
        <v/>
      </c>
      <c r="M33" s="10">
        <f>N33-K33</f>
        <v/>
      </c>
      <c r="N33" s="10" t="n">
        <v>7</v>
      </c>
      <c r="O33" s="11">
        <f>N33/$D$33</f>
        <v/>
      </c>
      <c r="P33" s="10">
        <f>Q33-N33</f>
        <v/>
      </c>
      <c r="Q33" s="10" t="n">
        <v>7</v>
      </c>
      <c r="R33" s="11">
        <f>Q33/$D$33</f>
        <v/>
      </c>
      <c r="S33" s="12">
        <f>T33-Q33</f>
        <v/>
      </c>
      <c r="T33" s="12" t="n">
        <v>7</v>
      </c>
      <c r="U33" s="13">
        <f>T33/$D$33</f>
        <v/>
      </c>
      <c r="V33" s="8" t="inlineStr"/>
    </row>
    <row r="34">
      <c r="A34" s="7" t="n">
        <v>30</v>
      </c>
      <c r="B34" s="8" t="inlineStr">
        <is>
          <t>Taman Cemerlang</t>
        </is>
      </c>
      <c r="C34" s="9" t="n">
        <v>45187</v>
      </c>
      <c r="D34" s="10" t="n">
        <v>91</v>
      </c>
      <c r="E34" s="7" t="inlineStr">
        <is>
          <t>7777-13</t>
        </is>
      </c>
      <c r="F34" s="8" t="inlineStr">
        <is>
          <t>KSL DEVELOPMENT SDN. BHD.</t>
        </is>
      </c>
      <c r="G34" s="10" t="n"/>
      <c r="H34" s="10" t="n">
        <v>75</v>
      </c>
      <c r="I34" s="11">
        <f>H34/$D$34</f>
        <v/>
      </c>
      <c r="J34" s="10">
        <f>K34-H34</f>
        <v/>
      </c>
      <c r="K34" s="10" t="n">
        <v>75</v>
      </c>
      <c r="L34" s="11">
        <f>K34/$D$34</f>
        <v/>
      </c>
      <c r="M34" s="10">
        <f>N34-K34</f>
        <v/>
      </c>
      <c r="N34" s="10" t="n">
        <v>75</v>
      </c>
      <c r="O34" s="11">
        <f>N34/$D$34</f>
        <v/>
      </c>
      <c r="P34" s="10">
        <f>Q34-N34</f>
        <v/>
      </c>
      <c r="Q34" s="10" t="n">
        <v>75</v>
      </c>
      <c r="R34" s="11">
        <f>Q34/$D$34</f>
        <v/>
      </c>
      <c r="S34" s="12">
        <f>T34-Q34</f>
        <v/>
      </c>
      <c r="T34" s="12" t="n">
        <v>75</v>
      </c>
      <c r="U34" s="13">
        <f>T34/$D$34</f>
        <v/>
      </c>
      <c r="V34" s="8" t="inlineStr"/>
    </row>
    <row r="35">
      <c r="A35" s="7" t="n">
        <v>31</v>
      </c>
      <c r="B35" s="8" t="inlineStr">
        <is>
          <t>Taman Banang Jaya</t>
        </is>
      </c>
      <c r="C35" s="9" t="n">
        <v>45233</v>
      </c>
      <c r="D35" s="10" t="n">
        <v>101</v>
      </c>
      <c r="E35" s="7" t="inlineStr">
        <is>
          <t>7777-14</t>
        </is>
      </c>
      <c r="F35" s="8" t="inlineStr">
        <is>
          <t>KSL DEVELOPMENT SDN. BHD.</t>
        </is>
      </c>
      <c r="G35" s="10" t="n"/>
      <c r="H35" s="10" t="n">
        <v>77</v>
      </c>
      <c r="I35" s="11">
        <f>H35/$D$35</f>
        <v/>
      </c>
      <c r="J35" s="10">
        <f>K35-H35</f>
        <v/>
      </c>
      <c r="K35" s="10" t="n">
        <v>77</v>
      </c>
      <c r="L35" s="11">
        <f>K35/$D$35</f>
        <v/>
      </c>
      <c r="M35" s="10">
        <f>N35-K35</f>
        <v/>
      </c>
      <c r="N35" s="10" t="n">
        <v>77</v>
      </c>
      <c r="O35" s="11">
        <f>N35/$D$35</f>
        <v/>
      </c>
      <c r="P35" s="10">
        <f>Q35-N35</f>
        <v/>
      </c>
      <c r="Q35" s="10" t="n">
        <v>77</v>
      </c>
      <c r="R35" s="11">
        <f>Q35/$D$35</f>
        <v/>
      </c>
      <c r="S35" s="12">
        <f>T35-Q35</f>
        <v/>
      </c>
      <c r="T35" s="12" t="n">
        <v>77</v>
      </c>
      <c r="U35" s="13">
        <f>T35/$D$35</f>
        <v/>
      </c>
      <c r="V35" s="8" t="inlineStr"/>
    </row>
    <row r="36">
      <c r="A36" s="7" t="n">
        <v>32</v>
      </c>
      <c r="B36" s="8" t="inlineStr">
        <is>
          <t>Taman Banang Jaya Ph2</t>
        </is>
      </c>
      <c r="C36" s="9" t="n">
        <v>45233</v>
      </c>
      <c r="D36" s="10" t="n">
        <v>221</v>
      </c>
      <c r="E36" s="7" t="inlineStr">
        <is>
          <t>7777-15</t>
        </is>
      </c>
      <c r="F36" s="8" t="inlineStr">
        <is>
          <t>KSL DEVELOPMENT SDN. BHD.</t>
        </is>
      </c>
      <c r="G36" s="10" t="n"/>
      <c r="H36" s="10" t="n">
        <v>124</v>
      </c>
      <c r="I36" s="11">
        <f>H36/$D$36</f>
        <v/>
      </c>
      <c r="J36" s="10">
        <f>K36-H36</f>
        <v/>
      </c>
      <c r="K36" s="10" t="n">
        <v>124</v>
      </c>
      <c r="L36" s="11">
        <f>K36/$D$36</f>
        <v/>
      </c>
      <c r="M36" s="10">
        <f>N36-K36</f>
        <v/>
      </c>
      <c r="N36" s="10" t="n">
        <v>124</v>
      </c>
      <c r="O36" s="11">
        <f>N36/$D$36</f>
        <v/>
      </c>
      <c r="P36" s="10">
        <f>Q36-N36</f>
        <v/>
      </c>
      <c r="Q36" s="10" t="n">
        <v>124</v>
      </c>
      <c r="R36" s="11">
        <f>Q36/$D$36</f>
        <v/>
      </c>
      <c r="S36" s="12">
        <f>T36-Q36</f>
        <v/>
      </c>
      <c r="T36" s="12" t="n">
        <v>124</v>
      </c>
      <c r="U36" s="13">
        <f>T36/$D$36</f>
        <v/>
      </c>
      <c r="V36" s="8" t="inlineStr"/>
    </row>
    <row r="37">
      <c r="A37" s="7" t="n">
        <v>33</v>
      </c>
      <c r="B37" s="8" t="inlineStr">
        <is>
          <t>Taman Mengkibol</t>
        </is>
      </c>
      <c r="C37" s="9" t="n">
        <v>45583</v>
      </c>
      <c r="D37" s="10" t="n">
        <v>237</v>
      </c>
      <c r="E37" s="7" t="inlineStr">
        <is>
          <t>7777-16</t>
        </is>
      </c>
      <c r="F37" s="8" t="inlineStr">
        <is>
          <t>KSL DEVELOPMENT SDN. BHD.</t>
        </is>
      </c>
      <c r="G37" s="10" t="n"/>
      <c r="H37" s="10" t="n">
        <v>59</v>
      </c>
      <c r="I37" s="11">
        <f>H37/$D$37</f>
        <v/>
      </c>
      <c r="J37" s="10">
        <f>K37-H37</f>
        <v/>
      </c>
      <c r="K37" s="10" t="n">
        <v>60</v>
      </c>
      <c r="L37" s="11">
        <f>K37/$D$37</f>
        <v/>
      </c>
      <c r="M37" s="10">
        <f>N37-K37</f>
        <v/>
      </c>
      <c r="N37" s="10" t="n">
        <v>66</v>
      </c>
      <c r="O37" s="11">
        <f>N37/$D$37</f>
        <v/>
      </c>
      <c r="P37" s="10">
        <f>Q37-N37</f>
        <v/>
      </c>
      <c r="Q37" s="10" t="n">
        <v>69</v>
      </c>
      <c r="R37" s="11">
        <f>Q37/$D$37</f>
        <v/>
      </c>
      <c r="S37" s="12">
        <f>T37-Q37</f>
        <v/>
      </c>
      <c r="T37" s="12" t="n">
        <v>74</v>
      </c>
      <c r="U37" s="13">
        <f>T37/$D$37</f>
        <v/>
      </c>
      <c r="V37" s="8" t="inlineStr"/>
    </row>
    <row r="38">
      <c r="A38" s="7" t="n">
        <v>34</v>
      </c>
      <c r="B38" s="8" t="inlineStr">
        <is>
          <t>Taman Banang Jaya Ph3</t>
        </is>
      </c>
      <c r="C38" s="9" t="n">
        <v>45839</v>
      </c>
      <c r="D38" s="10" t="n">
        <v>176</v>
      </c>
      <c r="E38" s="7" t="inlineStr">
        <is>
          <t>7777-17</t>
        </is>
      </c>
      <c r="F38" s="8" t="inlineStr">
        <is>
          <t>KSL DEVELOPMENT SDN. BHD.</t>
        </is>
      </c>
      <c r="G38" s="10" t="n"/>
      <c r="H38" s="10" t="n">
        <v>109</v>
      </c>
      <c r="I38" s="11">
        <f>H38/$D$38</f>
        <v/>
      </c>
      <c r="J38" s="10">
        <f>K38-H38</f>
        <v/>
      </c>
      <c r="K38" s="10" t="n">
        <v>111</v>
      </c>
      <c r="L38" s="11">
        <f>K38/$D$38</f>
        <v/>
      </c>
      <c r="M38" s="10">
        <f>N38-K38</f>
        <v/>
      </c>
      <c r="N38" s="10" t="n">
        <v>112</v>
      </c>
      <c r="O38" s="11">
        <f>N38/$D$38</f>
        <v/>
      </c>
      <c r="P38" s="10">
        <f>Q38-N38</f>
        <v/>
      </c>
      <c r="Q38" s="10" t="n">
        <v>110</v>
      </c>
      <c r="R38" s="11">
        <f>Q38/$D$38</f>
        <v/>
      </c>
      <c r="S38" s="12">
        <f>T38-Q38</f>
        <v/>
      </c>
      <c r="T38" s="12" t="n">
        <v>110</v>
      </c>
      <c r="U38" s="13">
        <f>T38/$D$38</f>
        <v/>
      </c>
      <c r="V38" s="8" t="inlineStr"/>
    </row>
    <row r="39">
      <c r="A39" s="7" t="n">
        <v>35</v>
      </c>
      <c r="B39" s="8" t="inlineStr">
        <is>
          <t>Ceros Residence @ Skudai/Mutiara Rini</t>
        </is>
      </c>
      <c r="C39" s="9" t="n">
        <v>45875</v>
      </c>
      <c r="D39" s="10" t="n">
        <v>1148</v>
      </c>
      <c r="E39" s="7" t="inlineStr">
        <is>
          <t>7777-18</t>
        </is>
      </c>
      <c r="F39" s="8" t="inlineStr">
        <is>
          <t>KSL DEVELOPMENT SDN. BHD.</t>
        </is>
      </c>
      <c r="G39" s="10" t="n"/>
      <c r="H39" s="10" t="n">
        <v>821</v>
      </c>
      <c r="I39" s="11">
        <f>H39/$D$39</f>
        <v/>
      </c>
      <c r="J39" s="10">
        <f>K39-H39</f>
        <v/>
      </c>
      <c r="K39" s="10" t="n">
        <v>829</v>
      </c>
      <c r="L39" s="11">
        <f>K39/$D$39</f>
        <v/>
      </c>
      <c r="M39" s="10">
        <f>N39-K39</f>
        <v/>
      </c>
      <c r="N39" s="10" t="n">
        <v>843</v>
      </c>
      <c r="O39" s="11">
        <f>N39/$D$39</f>
        <v/>
      </c>
      <c r="P39" s="10">
        <f>Q39-N39</f>
        <v/>
      </c>
      <c r="Q39" s="10" t="n">
        <v>853</v>
      </c>
      <c r="R39" s="11">
        <f>Q39/$D$39</f>
        <v/>
      </c>
      <c r="S39" s="12">
        <f>T39-Q39</f>
        <v/>
      </c>
      <c r="T39" s="12" t="n">
        <v>864</v>
      </c>
      <c r="U39" s="13">
        <f>T39/$D$39</f>
        <v/>
      </c>
      <c r="V39" s="8" t="inlineStr">
        <is>
          <t>Latest sales - Block A: 355 units, Block B: 509 units</t>
        </is>
      </c>
    </row>
    <row r="40">
      <c r="A40" s="7" t="n">
        <v>36</v>
      </c>
      <c r="B40" s="8" t="inlineStr">
        <is>
          <t>Riveria Avenia @ Wawari</t>
        </is>
      </c>
      <c r="C40" s="9" t="n"/>
      <c r="D40" s="10" t="n">
        <v>440</v>
      </c>
      <c r="E40" s="7" t="inlineStr"/>
      <c r="F40" s="8" t="inlineStr">
        <is>
          <t>WAWARI SDN. BHD.</t>
        </is>
      </c>
      <c r="G40" s="10" t="n"/>
      <c r="H40" s="10" t="n"/>
      <c r="I40" s="11" t="n"/>
      <c r="J40" s="10" t="n"/>
      <c r="K40" s="10" t="n"/>
      <c r="L40" s="11" t="n"/>
      <c r="M40" s="10" t="n"/>
      <c r="N40" s="10" t="n"/>
      <c r="O40" s="11" t="n"/>
      <c r="P40" s="10" t="n"/>
      <c r="Q40" s="10" t="n"/>
      <c r="R40" s="11" t="n"/>
      <c r="S40" s="12" t="n"/>
      <c r="T40" s="12" t="n"/>
      <c r="U40" s="13" t="n"/>
      <c r="V40" s="8" t="inlineStr">
        <is>
          <t>Not launched yet.</t>
        </is>
      </c>
    </row>
    <row r="41">
      <c r="A41" s="7" t="n">
        <v>37</v>
      </c>
      <c r="B41" s="8" t="inlineStr">
        <is>
          <t>Puteri Residences @ Taman Puteri Wangsa</t>
        </is>
      </c>
      <c r="C41" s="9" t="n"/>
      <c r="D41" s="10" t="n">
        <v>1974</v>
      </c>
      <c r="E41" s="7" t="inlineStr"/>
      <c r="F41" s="8" t="inlineStr"/>
      <c r="G41" s="10" t="n"/>
      <c r="H41" s="10" t="n"/>
      <c r="I41" s="11" t="n"/>
      <c r="J41" s="10" t="n"/>
      <c r="K41" s="10" t="n"/>
      <c r="L41" s="11" t="n"/>
      <c r="M41" s="10" t="n"/>
      <c r="N41" s="10" t="n"/>
      <c r="O41" s="11" t="n"/>
      <c r="P41" s="10" t="n"/>
      <c r="Q41" s="10" t="n"/>
      <c r="R41" s="11" t="n"/>
      <c r="S41" s="12" t="n"/>
      <c r="T41" s="12" t="n"/>
      <c r="U41" s="13" t="n"/>
      <c r="V41" s="8" t="inlineStr">
        <is>
          <t>Not launched yet.</t>
        </is>
      </c>
    </row>
    <row r="42">
      <c r="A42" s="7" t="n">
        <v>38</v>
      </c>
      <c r="B42" s="8" t="inlineStr">
        <is>
          <t>Bukit Gemilang</t>
        </is>
      </c>
      <c r="C42" s="9" t="n">
        <v>44816</v>
      </c>
      <c r="D42" s="10" t="n">
        <v>476</v>
      </c>
      <c r="E42" s="7" t="inlineStr">
        <is>
          <t>3390-73</t>
        </is>
      </c>
      <c r="F42" s="8" t="inlineStr">
        <is>
          <t>KHOO SOON LEE REALTY SDN. BHD.</t>
        </is>
      </c>
      <c r="G42" s="10" t="n"/>
      <c r="H42" s="10" t="n">
        <v>394</v>
      </c>
      <c r="I42" s="11">
        <f>H42/$D$42</f>
        <v/>
      </c>
      <c r="J42" s="10">
        <f>K42-H42</f>
        <v/>
      </c>
      <c r="K42" s="10" t="n">
        <v>394</v>
      </c>
      <c r="L42" s="11">
        <f>K42/$D$42</f>
        <v/>
      </c>
      <c r="M42" s="10">
        <f>N42-K42</f>
        <v/>
      </c>
      <c r="N42" s="10" t="n">
        <v>394</v>
      </c>
      <c r="O42" s="11">
        <f>N42/$D$42</f>
        <v/>
      </c>
      <c r="P42" s="10">
        <f>Q42-N42</f>
        <v/>
      </c>
      <c r="Q42" s="10" t="n">
        <v>394</v>
      </c>
      <c r="R42" s="11">
        <f>Q42/$D$42</f>
        <v/>
      </c>
      <c r="S42" s="12">
        <f>T42-Q42</f>
        <v/>
      </c>
      <c r="T42" s="12" t="n">
        <v>394</v>
      </c>
      <c r="U42" s="13">
        <f>T42/$D$42</f>
        <v/>
      </c>
      <c r="V42" s="8" t="inlineStr">
        <is>
          <t>Latest sales - Block A: 199 units, Block B: 195 units</t>
        </is>
      </c>
    </row>
    <row r="43">
      <c r="A43" s="7" t="n">
        <v>39</v>
      </c>
      <c r="B43" s="8" t="inlineStr">
        <is>
          <t>KSL Residences 2 @ Taman Daya</t>
        </is>
      </c>
      <c r="C43" s="9" t="n">
        <v>43756</v>
      </c>
      <c r="D43" s="10" t="n">
        <v>1276</v>
      </c>
      <c r="E43" s="7" t="inlineStr">
        <is>
          <t>3390-64</t>
        </is>
      </c>
      <c r="F43" s="8" t="inlineStr">
        <is>
          <t>KHOO SOON LEE REALTY SDN. BHD.</t>
        </is>
      </c>
      <c r="G43" s="10" t="n"/>
      <c r="H43" s="10" t="n">
        <v>754</v>
      </c>
      <c r="I43" s="11">
        <f>H43/$D$43</f>
        <v/>
      </c>
      <c r="J43" s="10">
        <f>K43-H43</f>
        <v/>
      </c>
      <c r="K43" s="10" t="n">
        <v>754</v>
      </c>
      <c r="L43" s="11">
        <f>K43/$D$43</f>
        <v/>
      </c>
      <c r="M43" s="10">
        <f>N43-K43</f>
        <v/>
      </c>
      <c r="N43" s="10" t="n">
        <v>754</v>
      </c>
      <c r="O43" s="11">
        <f>N43/$D$43</f>
        <v/>
      </c>
      <c r="P43" s="10">
        <f>Q43-N43</f>
        <v/>
      </c>
      <c r="Q43" s="10" t="n">
        <v>754</v>
      </c>
      <c r="R43" s="11">
        <f>Q43/$D$43</f>
        <v/>
      </c>
      <c r="S43" s="12">
        <f>T43-Q43</f>
        <v/>
      </c>
      <c r="T43" s="12" t="n">
        <v>754</v>
      </c>
      <c r="U43" s="13">
        <f>T43/$D$43</f>
        <v/>
      </c>
      <c r="V43" s="8" t="inlineStr">
        <is>
          <t>Latest sales - Block A: 115 units, Block B: 163 units, Block C: 55 units</t>
        </is>
      </c>
    </row>
    <row r="44">
      <c r="A44" s="7" t="n">
        <v>40</v>
      </c>
      <c r="B44" s="8" t="inlineStr">
        <is>
          <t>Taman Mutiara Gading</t>
        </is>
      </c>
      <c r="C44" s="9" t="n">
        <v>45853</v>
      </c>
      <c r="D44" s="10" t="n">
        <v>60</v>
      </c>
      <c r="E44" s="7" t="inlineStr">
        <is>
          <t>4205-10</t>
        </is>
      </c>
      <c r="F44" s="8" t="inlineStr">
        <is>
          <t>GOODPARK DEVELOPMENT SDN. BHD.</t>
        </is>
      </c>
      <c r="G44" s="10" t="n"/>
      <c r="H44" s="10" t="n">
        <v>7</v>
      </c>
      <c r="I44" s="11">
        <f>H44/$D$44</f>
        <v/>
      </c>
      <c r="J44" s="10">
        <f>K44-H44</f>
        <v/>
      </c>
      <c r="K44" s="10" t="n">
        <v>7</v>
      </c>
      <c r="L44" s="11">
        <f>K44/$D$44</f>
        <v/>
      </c>
      <c r="M44" s="10">
        <f>N44-K44</f>
        <v/>
      </c>
      <c r="N44" s="10" t="n">
        <v>7</v>
      </c>
      <c r="O44" s="11">
        <f>N44/$D$44</f>
        <v/>
      </c>
      <c r="P44" s="10">
        <f>Q44-N44</f>
        <v/>
      </c>
      <c r="Q44" s="10" t="n">
        <v>7</v>
      </c>
      <c r="R44" s="11">
        <f>Q44/$D$44</f>
        <v/>
      </c>
      <c r="S44" s="12">
        <f>T44-Q44</f>
        <v/>
      </c>
      <c r="T44" s="12" t="n">
        <v>7</v>
      </c>
      <c r="U44" s="13">
        <f>T44/$D$44</f>
        <v/>
      </c>
      <c r="V44" s="8" t="inlineStr"/>
    </row>
    <row r="45">
      <c r="A45" s="7" t="n">
        <v>41</v>
      </c>
      <c r="B45" s="8" t="inlineStr">
        <is>
          <t>Taman Mutiara Gading</t>
        </is>
      </c>
      <c r="C45" s="9" t="n">
        <v>45853</v>
      </c>
      <c r="D45" s="10" t="n">
        <v>52</v>
      </c>
      <c r="E45" s="7" t="inlineStr">
        <is>
          <t>4205-11</t>
        </is>
      </c>
      <c r="F45" s="8" t="inlineStr">
        <is>
          <t>GOODPARK DEVELOPMENT SDN. BHD.</t>
        </is>
      </c>
      <c r="G45" s="10" t="n"/>
      <c r="H45" s="10" t="n">
        <v>0</v>
      </c>
      <c r="I45" s="11">
        <f>H45/$D$45</f>
        <v/>
      </c>
      <c r="J45" s="10">
        <f>K45-H45</f>
        <v/>
      </c>
      <c r="K45" s="10" t="n">
        <v>0</v>
      </c>
      <c r="L45" s="11">
        <f>K45/$D$45</f>
        <v/>
      </c>
      <c r="M45" s="10">
        <f>N45-K45</f>
        <v/>
      </c>
      <c r="N45" s="10" t="n">
        <v>0</v>
      </c>
      <c r="O45" s="11">
        <f>N45/$D$45</f>
        <v/>
      </c>
      <c r="P45" s="10">
        <f>Q45-N45</f>
        <v/>
      </c>
      <c r="Q45" s="10" t="n">
        <v>0</v>
      </c>
      <c r="R45" s="11">
        <f>Q45/$D$45</f>
        <v/>
      </c>
      <c r="S45" s="12">
        <f>T45-Q45</f>
        <v/>
      </c>
      <c r="T45" s="12" t="n">
        <v>0</v>
      </c>
      <c r="U45" s="13">
        <f>T45/$D$45</f>
        <v/>
      </c>
      <c r="V45" s="8" t="inlineStr"/>
    </row>
    <row r="46">
      <c r="A46" s="7" t="n">
        <v>42</v>
      </c>
      <c r="B46" s="8" t="inlineStr">
        <is>
          <t>Taman Mutiara Gading</t>
        </is>
      </c>
      <c r="C46" s="9" t="n">
        <v>45853</v>
      </c>
      <c r="D46" s="10" t="n">
        <v>60</v>
      </c>
      <c r="E46" s="7" t="inlineStr">
        <is>
          <t>4205-12</t>
        </is>
      </c>
      <c r="F46" s="8" t="inlineStr">
        <is>
          <t>GOODPARK DEVELOPMENT SDN. BHD.</t>
        </is>
      </c>
      <c r="G46" s="10" t="n"/>
      <c r="H46" s="10" t="n">
        <v>5</v>
      </c>
      <c r="I46" s="11">
        <f>H46/$D$46</f>
        <v/>
      </c>
      <c r="J46" s="10">
        <f>K46-H46</f>
        <v/>
      </c>
      <c r="K46" s="10" t="n">
        <v>5</v>
      </c>
      <c r="L46" s="11">
        <f>K46/$D$46</f>
        <v/>
      </c>
      <c r="M46" s="10">
        <f>N46-K46</f>
        <v/>
      </c>
      <c r="N46" s="10" t="n">
        <v>5</v>
      </c>
      <c r="O46" s="11">
        <f>N46/$D$46</f>
        <v/>
      </c>
      <c r="P46" s="10">
        <f>Q46-N46</f>
        <v/>
      </c>
      <c r="Q46" s="10" t="n">
        <v>5</v>
      </c>
      <c r="R46" s="11">
        <f>Q46/$D$46</f>
        <v/>
      </c>
      <c r="S46" s="12">
        <f>T46-Q46</f>
        <v/>
      </c>
      <c r="T46" s="12" t="n">
        <v>6</v>
      </c>
      <c r="U46" s="13">
        <f>T46/$D$46</f>
        <v/>
      </c>
      <c r="V46" s="8" t="inlineStr"/>
    </row>
    <row r="47">
      <c r="A47" s="7" t="n">
        <v>43</v>
      </c>
      <c r="B47" s="8" t="inlineStr">
        <is>
          <t>Taman Alma</t>
        </is>
      </c>
      <c r="C47" s="9" t="n">
        <v>45722</v>
      </c>
      <c r="D47" s="10" t="n">
        <v>136</v>
      </c>
      <c r="E47" s="7" t="inlineStr">
        <is>
          <t>7777-11</t>
        </is>
      </c>
      <c r="F47" s="8" t="inlineStr">
        <is>
          <t>KSL DEVELOPMENT SDN. BHD.</t>
        </is>
      </c>
      <c r="G47" s="10" t="n"/>
      <c r="H47" s="10" t="n"/>
      <c r="I47" s="11" t="n"/>
      <c r="J47" s="10" t="n"/>
      <c r="K47" s="10" t="n">
        <v>111</v>
      </c>
      <c r="L47" s="11">
        <f>K47/$D$47</f>
        <v/>
      </c>
      <c r="M47" s="10">
        <f>N47-K47</f>
        <v/>
      </c>
      <c r="N47" s="10" t="n">
        <v>111</v>
      </c>
      <c r="O47" s="11">
        <f>N47/$D$47</f>
        <v/>
      </c>
      <c r="P47" s="10">
        <f>Q47-N47</f>
        <v/>
      </c>
      <c r="Q47" s="10" t="n">
        <v>111</v>
      </c>
      <c r="R47" s="11">
        <f>Q47/$D$47</f>
        <v/>
      </c>
      <c r="S47" s="12">
        <f>T47-Q47</f>
        <v/>
      </c>
      <c r="T47" s="12" t="n">
        <v>111</v>
      </c>
      <c r="U47" s="13">
        <f>T47/$D$47</f>
        <v/>
      </c>
      <c r="V47" s="8" t="inlineStr"/>
    </row>
    <row r="48">
      <c r="A48" s="7" t="n">
        <v>44</v>
      </c>
      <c r="B48" s="8" t="inlineStr">
        <is>
          <t>Taman Alma</t>
        </is>
      </c>
      <c r="C48" s="9" t="n">
        <v>45722</v>
      </c>
      <c r="D48" s="10" t="n">
        <v>193</v>
      </c>
      <c r="E48" s="7" t="inlineStr">
        <is>
          <t>7777-12</t>
        </is>
      </c>
      <c r="F48" s="8" t="inlineStr">
        <is>
          <t>KSL DEVELOPMENT SDN. BHD.</t>
        </is>
      </c>
      <c r="G48" s="10" t="n"/>
      <c r="H48" s="10" t="n"/>
      <c r="I48" s="11" t="n"/>
      <c r="J48" s="10" t="n"/>
      <c r="K48" s="10" t="n">
        <v>166</v>
      </c>
      <c r="L48" s="11">
        <f>K48/$D$48</f>
        <v/>
      </c>
      <c r="M48" s="10">
        <f>N48-K48</f>
        <v/>
      </c>
      <c r="N48" s="10" t="n">
        <v>166</v>
      </c>
      <c r="O48" s="11">
        <f>N48/$D$48</f>
        <v/>
      </c>
      <c r="P48" s="10">
        <f>Q48-N48</f>
        <v/>
      </c>
      <c r="Q48" s="10" t="n">
        <v>166</v>
      </c>
      <c r="R48" s="11">
        <f>Q48/$D$48</f>
        <v/>
      </c>
      <c r="S48" s="12">
        <f>T48-Q48</f>
        <v/>
      </c>
      <c r="T48" s="12" t="n">
        <v>166</v>
      </c>
      <c r="U48" s="13">
        <f>T48/$D$48</f>
        <v/>
      </c>
      <c r="V48" s="8" t="inlineStr"/>
    </row>
    <row r="49">
      <c r="A49" s="7" t="n">
        <v>45</v>
      </c>
      <c r="B49" s="8" t="inlineStr">
        <is>
          <t>Taman Bestari Indah</t>
        </is>
      </c>
      <c r="C49" s="9" t="n">
        <v>45898</v>
      </c>
      <c r="D49" s="10" t="n">
        <v>153</v>
      </c>
      <c r="E49" s="7" t="inlineStr">
        <is>
          <t>3390-76</t>
        </is>
      </c>
      <c r="F49" s="8" t="inlineStr">
        <is>
          <t>KHOO SOON LEE REALTY SDN. BHD.</t>
        </is>
      </c>
      <c r="G49" s="10" t="n"/>
      <c r="H49" s="10" t="n"/>
      <c r="I49" s="11" t="n"/>
      <c r="J49" s="10" t="n"/>
      <c r="K49" s="10" t="n">
        <v>81</v>
      </c>
      <c r="L49" s="11">
        <f>K49/$D$49</f>
        <v/>
      </c>
      <c r="M49" s="10">
        <f>N49-K49</f>
        <v/>
      </c>
      <c r="N49" s="10" t="n">
        <v>81</v>
      </c>
      <c r="O49" s="11">
        <f>N49/$D$49</f>
        <v/>
      </c>
      <c r="P49" s="10">
        <f>Q49-N49</f>
        <v/>
      </c>
      <c r="Q49" s="10" t="n">
        <v>81</v>
      </c>
      <c r="R49" s="11">
        <f>Q49/$D$49</f>
        <v/>
      </c>
      <c r="S49" s="12">
        <f>T49-Q49</f>
        <v/>
      </c>
      <c r="T49" s="12" t="n">
        <v>81</v>
      </c>
      <c r="U49" s="13">
        <f>T49/$D$49</f>
        <v/>
      </c>
      <c r="V49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V4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(LAGENDA)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Lagenda Ardea</t>
        </is>
      </c>
      <c r="C5" s="9" t="n">
        <v>45413</v>
      </c>
      <c r="D5" s="10" t="n">
        <v>831</v>
      </c>
      <c r="E5" s="7" t="inlineStr">
        <is>
          <t>11225-11</t>
        </is>
      </c>
      <c r="F5" s="8" t="inlineStr">
        <is>
          <t>BLOSSOM EASTLAND SDN. BHD.</t>
        </is>
      </c>
      <c r="G5" s="10" t="n"/>
      <c r="H5" s="10" t="n">
        <v>805</v>
      </c>
      <c r="I5" s="11">
        <f>H5/$D$5</f>
        <v/>
      </c>
      <c r="J5" s="10">
        <f>K5-H5</f>
        <v/>
      </c>
      <c r="K5" s="10" t="n">
        <v>806</v>
      </c>
      <c r="L5" s="11">
        <f>K5/$D$5</f>
        <v/>
      </c>
      <c r="M5" s="10">
        <f>N5-K5</f>
        <v/>
      </c>
      <c r="N5" s="10" t="n">
        <v>806</v>
      </c>
      <c r="O5" s="11">
        <f>N5/$D$5</f>
        <v/>
      </c>
      <c r="P5" s="10">
        <f>Q5-N5</f>
        <v/>
      </c>
      <c r="Q5" s="10" t="n">
        <v>806</v>
      </c>
      <c r="R5" s="11">
        <f>Q5/$D$5</f>
        <v/>
      </c>
      <c r="S5" s="12">
        <f>T5-Q5</f>
        <v/>
      </c>
      <c r="T5" s="12" t="n">
        <v>806</v>
      </c>
      <c r="U5" s="13">
        <f>T5/$D$5</f>
        <v/>
      </c>
      <c r="V5" s="8" t="inlineStr"/>
    </row>
    <row r="6">
      <c r="A6" s="7" t="n">
        <v>2</v>
      </c>
      <c r="B6" s="8" t="inlineStr">
        <is>
          <t>Lagenda Ardea</t>
        </is>
      </c>
      <c r="C6" s="9" t="n">
        <v>45473</v>
      </c>
      <c r="D6" s="10" t="n">
        <v>691</v>
      </c>
      <c r="E6" s="7" t="inlineStr">
        <is>
          <t>11225-12</t>
        </is>
      </c>
      <c r="F6" s="8" t="inlineStr">
        <is>
          <t>BLOSSOM EASTLAND SDN. BHD.</t>
        </is>
      </c>
      <c r="G6" s="10" t="n"/>
      <c r="H6" s="10" t="n">
        <v>390</v>
      </c>
      <c r="I6" s="11">
        <f>H6/$D$6</f>
        <v/>
      </c>
      <c r="J6" s="10">
        <f>K6-H6</f>
        <v/>
      </c>
      <c r="K6" s="10" t="n">
        <v>400</v>
      </c>
      <c r="L6" s="11">
        <f>K6/$D$6</f>
        <v/>
      </c>
      <c r="M6" s="10">
        <f>N6-K6</f>
        <v/>
      </c>
      <c r="N6" s="10" t="n">
        <v>418</v>
      </c>
      <c r="O6" s="11">
        <f>N6/$D$6</f>
        <v/>
      </c>
      <c r="P6" s="10">
        <f>Q6-N6</f>
        <v/>
      </c>
      <c r="Q6" s="10" t="n">
        <v>439</v>
      </c>
      <c r="R6" s="11">
        <f>Q6/$D$6</f>
        <v/>
      </c>
      <c r="S6" s="12">
        <f>T6-Q6</f>
        <v/>
      </c>
      <c r="T6" s="12" t="n">
        <v>442</v>
      </c>
      <c r="U6" s="13">
        <f>T6/$D$6</f>
        <v/>
      </c>
      <c r="V6" s="8" t="inlineStr"/>
    </row>
    <row r="7">
      <c r="A7" s="7" t="n">
        <v>3</v>
      </c>
      <c r="B7" s="8" t="inlineStr">
        <is>
          <t>Lagenda Ardea</t>
        </is>
      </c>
      <c r="C7" s="9" t="n">
        <v>45473</v>
      </c>
      <c r="D7" s="10" t="n">
        <v>818</v>
      </c>
      <c r="E7" s="7" t="inlineStr">
        <is>
          <t>11225-13</t>
        </is>
      </c>
      <c r="F7" s="8" t="inlineStr">
        <is>
          <t>BLOSSOM EASTLAND SDN. BHD.</t>
        </is>
      </c>
      <c r="G7" s="10" t="n"/>
      <c r="H7" s="10" t="n">
        <v>738</v>
      </c>
      <c r="I7" s="11">
        <f>H7/$D$7</f>
        <v/>
      </c>
      <c r="J7" s="10">
        <f>K7-H7</f>
        <v/>
      </c>
      <c r="K7" s="10" t="n">
        <v>742</v>
      </c>
      <c r="L7" s="11">
        <f>K7/$D$7</f>
        <v/>
      </c>
      <c r="M7" s="10">
        <f>N7-K7</f>
        <v/>
      </c>
      <c r="N7" s="10" t="n">
        <v>743</v>
      </c>
      <c r="O7" s="11">
        <f>N7/$D$7</f>
        <v/>
      </c>
      <c r="P7" s="10">
        <f>Q7-N7</f>
        <v/>
      </c>
      <c r="Q7" s="10" t="n">
        <v>745</v>
      </c>
      <c r="R7" s="11">
        <f>Q7/$D$7</f>
        <v/>
      </c>
      <c r="S7" s="12">
        <f>T7-Q7</f>
        <v/>
      </c>
      <c r="T7" s="12" t="n">
        <v>754</v>
      </c>
      <c r="U7" s="13">
        <f>T7/$D$7</f>
        <v/>
      </c>
      <c r="V7" s="8" t="inlineStr"/>
    </row>
    <row r="8">
      <c r="A8" s="7" t="n">
        <v>4</v>
      </c>
      <c r="B8" s="8" t="inlineStr">
        <is>
          <t>Setia Residen (Aurora)</t>
        </is>
      </c>
      <c r="C8" s="9" t="n">
        <v>45939</v>
      </c>
      <c r="D8" s="10" t="n">
        <v>75</v>
      </c>
      <c r="E8" s="7" t="inlineStr">
        <is>
          <t>11225-14</t>
        </is>
      </c>
      <c r="F8" s="8" t="inlineStr">
        <is>
          <t>BLOSSOM EASTLAND SDN. BHD.</t>
        </is>
      </c>
      <c r="G8" s="10" t="n"/>
      <c r="H8" s="10" t="n">
        <v>4</v>
      </c>
      <c r="I8" s="11">
        <f>H8/$D$8</f>
        <v/>
      </c>
      <c r="J8" s="10">
        <f>K8-H8</f>
        <v/>
      </c>
      <c r="K8" s="10" t="n">
        <v>5</v>
      </c>
      <c r="L8" s="11">
        <f>K8/$D$8</f>
        <v/>
      </c>
      <c r="M8" s="10">
        <f>N8-K8</f>
        <v/>
      </c>
      <c r="N8" s="10" t="n">
        <v>5</v>
      </c>
      <c r="O8" s="11">
        <f>N8/$D$8</f>
        <v/>
      </c>
      <c r="P8" s="10">
        <f>Q8-N8</f>
        <v/>
      </c>
      <c r="Q8" s="10" t="n">
        <v>5</v>
      </c>
      <c r="R8" s="11">
        <f>Q8/$D$8</f>
        <v/>
      </c>
      <c r="S8" s="12">
        <f>T8-Q8</f>
        <v/>
      </c>
      <c r="T8" s="12" t="n">
        <v>5</v>
      </c>
      <c r="U8" s="13">
        <f>T8/$D$8</f>
        <v/>
      </c>
      <c r="V8" s="8" t="inlineStr"/>
    </row>
    <row r="9">
      <c r="A9" s="7" t="n">
        <v>5</v>
      </c>
      <c r="B9" s="8" t="inlineStr">
        <is>
          <t>Bandar Baru Setia Awan Perdana</t>
        </is>
      </c>
      <c r="C9" s="9" t="n">
        <v>44916</v>
      </c>
      <c r="D9" s="10" t="n">
        <v>932</v>
      </c>
      <c r="E9" s="7" t="inlineStr">
        <is>
          <t>14283-16</t>
        </is>
      </c>
      <c r="F9" s="8" t="inlineStr">
        <is>
          <t>TARAF NUSANTARA SDN. BHD.</t>
        </is>
      </c>
      <c r="G9" s="10" t="n"/>
      <c r="H9" s="10" t="n">
        <v>738</v>
      </c>
      <c r="I9" s="11">
        <f>H9/$D$9</f>
        <v/>
      </c>
      <c r="J9" s="10">
        <f>K9-H9</f>
        <v/>
      </c>
      <c r="K9" s="10" t="n">
        <v>740</v>
      </c>
      <c r="L9" s="11">
        <f>K9/$D$9</f>
        <v/>
      </c>
      <c r="M9" s="10">
        <f>N9-K9</f>
        <v/>
      </c>
      <c r="N9" s="10" t="n">
        <v>742</v>
      </c>
      <c r="O9" s="11">
        <f>N9/$D$9</f>
        <v/>
      </c>
      <c r="P9" s="10">
        <f>Q9-N9</f>
        <v/>
      </c>
      <c r="Q9" s="10" t="n">
        <v>742</v>
      </c>
      <c r="R9" s="11">
        <f>Q9/$D$9</f>
        <v/>
      </c>
      <c r="S9" s="12">
        <f>T9-Q9</f>
        <v/>
      </c>
      <c r="T9" s="12" t="n">
        <v>742</v>
      </c>
      <c r="U9" s="13">
        <f>T9/$D$9</f>
        <v/>
      </c>
      <c r="V9" s="8" t="inlineStr"/>
    </row>
    <row r="10">
      <c r="A10" s="7" t="n">
        <v>6</v>
      </c>
      <c r="B10" s="8" t="inlineStr">
        <is>
          <t>Lagenda Teluk Intan</t>
        </is>
      </c>
      <c r="C10" s="9" t="n">
        <v>44938</v>
      </c>
      <c r="D10" s="10" t="n">
        <v>773</v>
      </c>
      <c r="E10" s="7" t="inlineStr">
        <is>
          <t>14283-17</t>
        </is>
      </c>
      <c r="F10" s="8" t="inlineStr">
        <is>
          <t>TARAF NUSANTARA SDN. BHD.</t>
        </is>
      </c>
      <c r="G10" s="10" t="n"/>
      <c r="H10" s="10" t="n">
        <v>579</v>
      </c>
      <c r="I10" s="11">
        <f>H10/$D$10</f>
        <v/>
      </c>
      <c r="J10" s="10">
        <f>K10-H10</f>
        <v/>
      </c>
      <c r="K10" s="10" t="n">
        <v>580</v>
      </c>
      <c r="L10" s="11">
        <f>K10/$D$10</f>
        <v/>
      </c>
      <c r="M10" s="10">
        <f>N10-K10</f>
        <v/>
      </c>
      <c r="N10" s="10" t="n">
        <v>580</v>
      </c>
      <c r="O10" s="11">
        <f>N10/$D$10</f>
        <v/>
      </c>
      <c r="P10" s="10">
        <f>Q10-N10</f>
        <v/>
      </c>
      <c r="Q10" s="10" t="n">
        <v>580</v>
      </c>
      <c r="R10" s="11">
        <f>Q10/$D$10</f>
        <v/>
      </c>
      <c r="S10" s="12">
        <f>T10-Q10</f>
        <v/>
      </c>
      <c r="T10" s="12" t="n">
        <v>580</v>
      </c>
      <c r="U10" s="13">
        <f>T10/$D$10</f>
        <v/>
      </c>
      <c r="V10" s="8" t="inlineStr"/>
    </row>
    <row r="11">
      <c r="A11" s="7" t="n">
        <v>7</v>
      </c>
      <c r="B11" s="8" t="inlineStr">
        <is>
          <t>Bandar Baru Setia Awan Perdana</t>
        </is>
      </c>
      <c r="C11" s="9" t="n">
        <v>44978</v>
      </c>
      <c r="D11" s="10" t="n">
        <v>1048</v>
      </c>
      <c r="E11" s="7" t="inlineStr">
        <is>
          <t>14283-18</t>
        </is>
      </c>
      <c r="F11" s="8" t="inlineStr">
        <is>
          <t>TARAF NUSANTARA SDN. BHD.</t>
        </is>
      </c>
      <c r="G11" s="10" t="n"/>
      <c r="H11" s="10" t="n">
        <v>0</v>
      </c>
      <c r="I11" s="11">
        <f>H11/$D$11</f>
        <v/>
      </c>
      <c r="J11" s="10">
        <f>K11-H11</f>
        <v/>
      </c>
      <c r="K11" s="10" t="n">
        <v>0</v>
      </c>
      <c r="L11" s="11">
        <f>K11/$D$11</f>
        <v/>
      </c>
      <c r="M11" s="10">
        <f>N11-K11</f>
        <v/>
      </c>
      <c r="N11" s="10" t="n">
        <v>0</v>
      </c>
      <c r="O11" s="11">
        <f>N11/$D$11</f>
        <v/>
      </c>
      <c r="P11" s="10">
        <f>Q11-N11</f>
        <v/>
      </c>
      <c r="Q11" s="10" t="n">
        <v>0</v>
      </c>
      <c r="R11" s="11">
        <f>Q11/$D$11</f>
        <v/>
      </c>
      <c r="S11" s="12">
        <f>T11-Q11</f>
        <v/>
      </c>
      <c r="T11" s="12" t="n">
        <v>0</v>
      </c>
      <c r="U11" s="13">
        <f>T11/$D$11</f>
        <v/>
      </c>
      <c r="V11" s="8" t="inlineStr"/>
    </row>
    <row r="12">
      <c r="A12" s="7" t="n">
        <v>8</v>
      </c>
      <c r="B12" s="8" t="inlineStr">
        <is>
          <t>Bandar Baru Setia Awan Perdana</t>
        </is>
      </c>
      <c r="C12" s="9" t="n">
        <v>44988</v>
      </c>
      <c r="D12" s="10" t="n">
        <v>664</v>
      </c>
      <c r="E12" s="7" t="inlineStr">
        <is>
          <t>14283-19</t>
        </is>
      </c>
      <c r="F12" s="8" t="inlineStr">
        <is>
          <t>TARAF NUSANTARA SDN. BHD.</t>
        </is>
      </c>
      <c r="G12" s="10" t="n"/>
      <c r="H12" s="10" t="n">
        <v>299</v>
      </c>
      <c r="I12" s="11">
        <f>H12/$D$12</f>
        <v/>
      </c>
      <c r="J12" s="10">
        <f>K12-H12</f>
        <v/>
      </c>
      <c r="K12" s="10" t="n">
        <v>306</v>
      </c>
      <c r="L12" s="11">
        <f>K12/$D$12</f>
        <v/>
      </c>
      <c r="M12" s="10">
        <f>N12-K12</f>
        <v/>
      </c>
      <c r="N12" s="10" t="n">
        <v>317</v>
      </c>
      <c r="O12" s="11">
        <f>N12/$D$12</f>
        <v/>
      </c>
      <c r="P12" s="10">
        <f>Q12-N12</f>
        <v/>
      </c>
      <c r="Q12" s="10" t="n">
        <v>332</v>
      </c>
      <c r="R12" s="11">
        <f>Q12/$D$12</f>
        <v/>
      </c>
      <c r="S12" s="12">
        <f>T12-Q12</f>
        <v/>
      </c>
      <c r="T12" s="12" t="n">
        <v>347</v>
      </c>
      <c r="U12" s="13">
        <f>T12/$D$12</f>
        <v/>
      </c>
      <c r="V12" s="8" t="inlineStr"/>
    </row>
    <row r="13">
      <c r="A13" s="7" t="n">
        <v>9</v>
      </c>
      <c r="B13" s="8" t="inlineStr">
        <is>
          <t>Lagenda Teluk Intan</t>
        </is>
      </c>
      <c r="C13" s="9" t="n">
        <v>45218</v>
      </c>
      <c r="D13" s="10" t="n">
        <v>980</v>
      </c>
      <c r="E13" s="7" t="inlineStr">
        <is>
          <t>14283-20</t>
        </is>
      </c>
      <c r="F13" s="8" t="inlineStr">
        <is>
          <t>TARAF NUSANTARA SDN. BHD.</t>
        </is>
      </c>
      <c r="G13" s="10" t="n"/>
      <c r="H13" s="10" t="n">
        <v>131</v>
      </c>
      <c r="I13" s="11">
        <f>H13/$D$13</f>
        <v/>
      </c>
      <c r="J13" s="10">
        <f>K13-H13</f>
        <v/>
      </c>
      <c r="K13" s="10" t="n">
        <v>133</v>
      </c>
      <c r="L13" s="11">
        <f>K13/$D$13</f>
        <v/>
      </c>
      <c r="M13" s="10">
        <f>N13-K13</f>
        <v/>
      </c>
      <c r="N13" s="10" t="n">
        <v>138</v>
      </c>
      <c r="O13" s="11">
        <f>N13/$D$13</f>
        <v/>
      </c>
      <c r="P13" s="10">
        <f>Q13-N13</f>
        <v/>
      </c>
      <c r="Q13" s="10" t="n">
        <v>141</v>
      </c>
      <c r="R13" s="11">
        <f>Q13/$D$13</f>
        <v/>
      </c>
      <c r="S13" s="12">
        <f>T13-Q13</f>
        <v/>
      </c>
      <c r="T13" s="12" t="n">
        <v>141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La'Indera (Palma phase)</t>
        </is>
      </c>
      <c r="C14" s="9" t="n">
        <v>45608</v>
      </c>
      <c r="D14" s="10" t="n">
        <v>1009</v>
      </c>
      <c r="E14" s="7" t="inlineStr">
        <is>
          <t>19599-2</t>
        </is>
      </c>
      <c r="F14" s="8" t="inlineStr">
        <is>
          <t>LPB DEVELOPMENT  SDN. BHD.</t>
        </is>
      </c>
      <c r="G14" s="10" t="n"/>
      <c r="H14" s="10" t="n">
        <v>997</v>
      </c>
      <c r="I14" s="11">
        <f>H14/$D$14</f>
        <v/>
      </c>
      <c r="J14" s="10">
        <f>K14-H14</f>
        <v/>
      </c>
      <c r="K14" s="10" t="n">
        <v>997</v>
      </c>
      <c r="L14" s="11">
        <f>K14/$D$14</f>
        <v/>
      </c>
      <c r="M14" s="10">
        <f>N14-K14</f>
        <v/>
      </c>
      <c r="N14" s="10" t="n">
        <v>997</v>
      </c>
      <c r="O14" s="11">
        <f>N14/$D$14</f>
        <v/>
      </c>
      <c r="P14" s="10">
        <f>Q14-N14</f>
        <v/>
      </c>
      <c r="Q14" s="10" t="n">
        <v>997</v>
      </c>
      <c r="R14" s="11">
        <f>Q14/$D$14</f>
        <v/>
      </c>
      <c r="S14" s="12">
        <f>T14-Q14</f>
        <v/>
      </c>
      <c r="T14" s="12" t="n">
        <v>996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Lagenda Damai (Bayu Phase 1A)</t>
        </is>
      </c>
      <c r="C15" s="9" t="n">
        <v>45880</v>
      </c>
      <c r="D15" s="10" t="n">
        <v>936</v>
      </c>
      <c r="E15" s="7" t="inlineStr">
        <is>
          <t>19599-3</t>
        </is>
      </c>
      <c r="F15" s="8" t="inlineStr">
        <is>
          <t>LPB DEVELOPMENT  SDN. BHD.</t>
        </is>
      </c>
      <c r="G15" s="10" t="n"/>
      <c r="H15" s="10" t="n">
        <v>150</v>
      </c>
      <c r="I15" s="11">
        <f>H15/$D$15</f>
        <v/>
      </c>
      <c r="J15" s="10">
        <f>K15-H15</f>
        <v/>
      </c>
      <c r="K15" s="10" t="n">
        <v>151</v>
      </c>
      <c r="L15" s="11">
        <f>K15/$D$15</f>
        <v/>
      </c>
      <c r="M15" s="10">
        <f>N15-K15</f>
        <v/>
      </c>
      <c r="N15" s="10" t="n">
        <v>154</v>
      </c>
      <c r="O15" s="11">
        <f>N15/$D$15</f>
        <v/>
      </c>
      <c r="P15" s="10">
        <f>Q15-N15</f>
        <v/>
      </c>
      <c r="Q15" s="10" t="n">
        <v>157</v>
      </c>
      <c r="R15" s="11">
        <f>Q15/$D$15</f>
        <v/>
      </c>
      <c r="S15" s="12">
        <f>T15-Q15</f>
        <v/>
      </c>
      <c r="T15" s="12" t="n">
        <v>161</v>
      </c>
      <c r="U15" s="13">
        <f>T15/$D$15</f>
        <v/>
      </c>
      <c r="V15" s="8" t="inlineStr"/>
    </row>
    <row r="16">
      <c r="A16" s="7" t="n">
        <v>12</v>
      </c>
      <c r="B16" s="8" t="inlineStr">
        <is>
          <t>Lagenda Damai</t>
        </is>
      </c>
      <c r="C16" s="9" t="n">
        <v>45945</v>
      </c>
      <c r="D16" s="10" t="n">
        <v>954</v>
      </c>
      <c r="E16" s="7" t="inlineStr">
        <is>
          <t>19599-4</t>
        </is>
      </c>
      <c r="F16" s="8" t="inlineStr">
        <is>
          <t>LPB DEVELOPMENT  SDN. BHD.</t>
        </is>
      </c>
      <c r="G16" s="10" t="n"/>
      <c r="H16" s="10" t="n">
        <v>0</v>
      </c>
      <c r="I16" s="11">
        <f>H16/$D$16</f>
        <v/>
      </c>
      <c r="J16" s="10">
        <f>K16-H16</f>
        <v/>
      </c>
      <c r="K16" s="10" t="n">
        <v>0</v>
      </c>
      <c r="L16" s="11">
        <f>K16/$D$16</f>
        <v/>
      </c>
      <c r="M16" s="10">
        <f>N16-K16</f>
        <v/>
      </c>
      <c r="N16" s="10" t="n">
        <v>0</v>
      </c>
      <c r="O16" s="11">
        <f>N16/$D$16</f>
        <v/>
      </c>
      <c r="P16" s="10">
        <f>Q16-N16</f>
        <v/>
      </c>
      <c r="Q16" s="10" t="n">
        <v>0</v>
      </c>
      <c r="R16" s="11">
        <f>Q16/$D$16</f>
        <v/>
      </c>
      <c r="S16" s="12">
        <f>T16-Q16</f>
        <v/>
      </c>
      <c r="T16" s="12" t="n">
        <v>0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La'Indera - Palma phase</t>
        </is>
      </c>
      <c r="C17" s="9" t="n">
        <v>45981</v>
      </c>
      <c r="D17" s="10" t="n">
        <v>379</v>
      </c>
      <c r="E17" s="7" t="inlineStr">
        <is>
          <t>19599-5</t>
        </is>
      </c>
      <c r="F17" s="8" t="inlineStr">
        <is>
          <t>LPB DEVELOPMENT  SDN. BHD.</t>
        </is>
      </c>
      <c r="G17" s="10" t="n"/>
      <c r="H17" s="10" t="n">
        <v>55</v>
      </c>
      <c r="I17" s="11">
        <f>H17/$D$17</f>
        <v/>
      </c>
      <c r="J17" s="10">
        <f>K17-H17</f>
        <v/>
      </c>
      <c r="K17" s="10" t="n">
        <v>62</v>
      </c>
      <c r="L17" s="11">
        <f>K17/$D$17</f>
        <v/>
      </c>
      <c r="M17" s="10">
        <f>N17-K17</f>
        <v/>
      </c>
      <c r="N17" s="10" t="n">
        <v>91</v>
      </c>
      <c r="O17" s="11">
        <f>N17/$D$17</f>
        <v/>
      </c>
      <c r="P17" s="10">
        <f>Q17-N17</f>
        <v/>
      </c>
      <c r="Q17" s="10" t="n">
        <v>104</v>
      </c>
      <c r="R17" s="11">
        <f>Q17/$D$17</f>
        <v/>
      </c>
      <c r="S17" s="12">
        <f>T17-Q17</f>
        <v/>
      </c>
      <c r="T17" s="12" t="n">
        <v>116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La'Indera - Tiara phase</t>
        </is>
      </c>
      <c r="C18" s="9" t="n">
        <v>46015</v>
      </c>
      <c r="D18" s="10" t="n">
        <v>1540</v>
      </c>
      <c r="E18" s="7" t="inlineStr">
        <is>
          <t>19599-6</t>
        </is>
      </c>
      <c r="F18" s="8" t="inlineStr">
        <is>
          <t>LPB DEVELOPMENT  SDN. BHD.</t>
        </is>
      </c>
      <c r="G18" s="10" t="n"/>
      <c r="H18" s="10" t="n">
        <v>67</v>
      </c>
      <c r="I18" s="11">
        <f>H18/$D$18</f>
        <v/>
      </c>
      <c r="J18" s="10">
        <f>K18-H18</f>
        <v/>
      </c>
      <c r="K18" s="10" t="n">
        <v>82</v>
      </c>
      <c r="L18" s="11">
        <f>K18/$D$18</f>
        <v/>
      </c>
      <c r="M18" s="10">
        <f>N18-K18</f>
        <v/>
      </c>
      <c r="N18" s="10" t="n">
        <v>86</v>
      </c>
      <c r="O18" s="11">
        <f>N18/$D$18</f>
        <v/>
      </c>
      <c r="P18" s="10">
        <f>Q18-N18</f>
        <v/>
      </c>
      <c r="Q18" s="10" t="n">
        <v>93</v>
      </c>
      <c r="R18" s="11">
        <f>Q18/$D$18</f>
        <v/>
      </c>
      <c r="S18" s="12">
        <f>T18-Q18</f>
        <v/>
      </c>
      <c r="T18" s="12" t="n">
        <v>99</v>
      </c>
      <c r="U18" s="13">
        <f>T18/$D$18</f>
        <v/>
      </c>
      <c r="V18" s="8" t="inlineStr"/>
    </row>
    <row r="19">
      <c r="A19" s="7" t="n">
        <v>15</v>
      </c>
      <c r="B19" s="8" t="inlineStr">
        <is>
          <t>Puncak Warisan (Seri Embun/Seri Ratna)</t>
        </is>
      </c>
      <c r="C19" s="9" t="n">
        <v>45407</v>
      </c>
      <c r="D19" s="10" t="n">
        <v>639</v>
      </c>
      <c r="E19" s="7" t="inlineStr">
        <is>
          <t>20081-2</t>
        </is>
      </c>
      <c r="F19" s="8" t="inlineStr">
        <is>
          <t>OPTI VEGA SDN. BHD.</t>
        </is>
      </c>
      <c r="G19" s="10" t="n"/>
      <c r="H19" s="10" t="n">
        <v>636</v>
      </c>
      <c r="I19" s="11">
        <f>H19/$D$19</f>
        <v/>
      </c>
      <c r="J19" s="10">
        <f>K19-H19</f>
        <v/>
      </c>
      <c r="K19" s="10" t="n">
        <v>636</v>
      </c>
      <c r="L19" s="11">
        <f>K19/$D$19</f>
        <v/>
      </c>
      <c r="M19" s="10">
        <f>N19-K19</f>
        <v/>
      </c>
      <c r="N19" s="10" t="n">
        <v>636</v>
      </c>
      <c r="O19" s="11">
        <f>N19/$D$19</f>
        <v/>
      </c>
      <c r="P19" s="10">
        <f>Q19-N19</f>
        <v/>
      </c>
      <c r="Q19" s="10" t="n">
        <v>636</v>
      </c>
      <c r="R19" s="11">
        <f>Q19/$D$19</f>
        <v/>
      </c>
      <c r="S19" s="12">
        <f>T19-Q19</f>
        <v/>
      </c>
      <c r="T19" s="12" t="n">
        <v>636</v>
      </c>
      <c r="U19" s="13">
        <f>T19/$D$19</f>
        <v/>
      </c>
      <c r="V19" s="8" t="inlineStr"/>
    </row>
    <row r="20">
      <c r="A20" s="7" t="n">
        <v>16</v>
      </c>
      <c r="B20" s="8" t="inlineStr">
        <is>
          <t>Puncak Warisan (Warisan Square)</t>
        </is>
      </c>
      <c r="C20" s="9" t="n">
        <v>45814</v>
      </c>
      <c r="D20" s="10" t="n">
        <v>104</v>
      </c>
      <c r="E20" s="7" t="inlineStr">
        <is>
          <t>20081-3</t>
        </is>
      </c>
      <c r="F20" s="8" t="inlineStr">
        <is>
          <t>OPTI VEGA SDN. BHD.</t>
        </is>
      </c>
      <c r="G20" s="10" t="n"/>
      <c r="H20" s="10" t="n">
        <v>26</v>
      </c>
      <c r="I20" s="11">
        <f>H20/$D$20</f>
        <v/>
      </c>
      <c r="J20" s="10">
        <f>K20-H20</f>
        <v/>
      </c>
      <c r="K20" s="10" t="n">
        <v>27</v>
      </c>
      <c r="L20" s="11">
        <f>K20/$D$20</f>
        <v/>
      </c>
      <c r="M20" s="10">
        <f>N20-K20</f>
        <v/>
      </c>
      <c r="N20" s="10" t="n">
        <v>29</v>
      </c>
      <c r="O20" s="11">
        <f>N20/$D$20</f>
        <v/>
      </c>
      <c r="P20" s="10">
        <f>Q20-N20</f>
        <v/>
      </c>
      <c r="Q20" s="10" t="n">
        <v>30</v>
      </c>
      <c r="R20" s="11">
        <f>Q20/$D$20</f>
        <v/>
      </c>
      <c r="S20" s="12">
        <f>T20-Q20</f>
        <v/>
      </c>
      <c r="T20" s="12" t="n">
        <v>30</v>
      </c>
      <c r="U20" s="13">
        <f>T20/$D$20</f>
        <v/>
      </c>
      <c r="V20" s="8" t="inlineStr"/>
    </row>
    <row r="21">
      <c r="A21" s="7" t="n">
        <v>17</v>
      </c>
      <c r="B21" s="8" t="inlineStr">
        <is>
          <t>Darulaman Lagenda (Phase 3A/3B)</t>
        </is>
      </c>
      <c r="C21" s="9" t="n">
        <v>45110</v>
      </c>
      <c r="D21" s="10" t="n">
        <v>636</v>
      </c>
      <c r="E21" s="7" t="inlineStr">
        <is>
          <t>30102-3</t>
        </is>
      </c>
      <c r="F21" s="8" t="inlineStr">
        <is>
          <t>BDB LAGENDA  SDN. BHD.</t>
        </is>
      </c>
      <c r="G21" s="10" t="n"/>
      <c r="H21" s="10" t="n">
        <v>507</v>
      </c>
      <c r="I21" s="11">
        <f>H21/$D$21</f>
        <v/>
      </c>
      <c r="J21" s="10">
        <f>K21-H21</f>
        <v/>
      </c>
      <c r="K21" s="10" t="n">
        <v>507</v>
      </c>
      <c r="L21" s="11">
        <f>K21/$D$21</f>
        <v/>
      </c>
      <c r="M21" s="10">
        <f>N21-K21</f>
        <v/>
      </c>
      <c r="N21" s="10" t="n">
        <v>507</v>
      </c>
      <c r="O21" s="11">
        <f>N21/$D$21</f>
        <v/>
      </c>
      <c r="P21" s="10">
        <f>Q21-N21</f>
        <v/>
      </c>
      <c r="Q21" s="10" t="n">
        <v>507</v>
      </c>
      <c r="R21" s="11">
        <f>Q21/$D$21</f>
        <v/>
      </c>
      <c r="S21" s="12">
        <f>T21-Q21</f>
        <v/>
      </c>
      <c r="T21" s="12" t="n">
        <v>507</v>
      </c>
      <c r="U21" s="13">
        <f>T21/$D$21</f>
        <v/>
      </c>
      <c r="V21" s="8" t="inlineStr"/>
    </row>
    <row r="22">
      <c r="A22" s="7" t="n">
        <v>18</v>
      </c>
      <c r="B22" s="8" t="inlineStr">
        <is>
          <t>Darulaman Lagenda</t>
        </is>
      </c>
      <c r="C22" s="9" t="n">
        <v>45880</v>
      </c>
      <c r="D22" s="10" t="n">
        <v>398</v>
      </c>
      <c r="E22" s="7" t="inlineStr">
        <is>
          <t>30102-4</t>
        </is>
      </c>
      <c r="F22" s="8" t="inlineStr">
        <is>
          <t>BDB LAGENDA  SDN. BHD.</t>
        </is>
      </c>
      <c r="G22" s="10" t="n"/>
      <c r="H22" s="10" t="n">
        <v>396</v>
      </c>
      <c r="I22" s="11">
        <f>H22/$D$22</f>
        <v/>
      </c>
      <c r="J22" s="10">
        <f>K22-H22</f>
        <v/>
      </c>
      <c r="K22" s="10" t="n">
        <v>397</v>
      </c>
      <c r="L22" s="11">
        <f>K22/$D$22</f>
        <v/>
      </c>
      <c r="M22" s="10">
        <f>N22-K22</f>
        <v/>
      </c>
      <c r="N22" s="10" t="n">
        <v>397</v>
      </c>
      <c r="O22" s="11">
        <f>N22/$D$22</f>
        <v/>
      </c>
      <c r="P22" s="10">
        <f>Q22-N22</f>
        <v/>
      </c>
      <c r="Q22" s="10" t="n">
        <v>397</v>
      </c>
      <c r="R22" s="11">
        <f>Q22/$D$22</f>
        <v/>
      </c>
      <c r="S22" s="12">
        <f>T22-Q22</f>
        <v/>
      </c>
      <c r="T22" s="12" t="n">
        <v>397</v>
      </c>
      <c r="U22" s="13">
        <f>T22/$D$22</f>
        <v/>
      </c>
      <c r="V22" s="8" t="inlineStr"/>
    </row>
    <row r="23">
      <c r="A23" s="7" t="n">
        <v>19</v>
      </c>
      <c r="B23" s="8" t="inlineStr">
        <is>
          <t>Lagenda Suria (Phase 1A/1B)</t>
        </is>
      </c>
      <c r="C23" s="9" t="n">
        <v>45171</v>
      </c>
      <c r="D23" s="10" t="n">
        <v>608</v>
      </c>
      <c r="E23" s="7" t="inlineStr">
        <is>
          <t>30223-1</t>
        </is>
      </c>
      <c r="F23" s="8" t="inlineStr">
        <is>
          <t>LAGENDA MERSING  SDN. BHD.</t>
        </is>
      </c>
      <c r="G23" s="10" t="n"/>
      <c r="H23" s="10" t="n">
        <v>606</v>
      </c>
      <c r="I23" s="11">
        <f>H23/$D$23</f>
        <v/>
      </c>
      <c r="J23" s="10">
        <f>K23-H23</f>
        <v/>
      </c>
      <c r="K23" s="10" t="n">
        <v>601</v>
      </c>
      <c r="L23" s="11">
        <f>K23/$D$23</f>
        <v/>
      </c>
      <c r="M23" s="10">
        <f>N23-K23</f>
        <v/>
      </c>
      <c r="N23" s="10" t="n">
        <v>601</v>
      </c>
      <c r="O23" s="11">
        <f>N23/$D$23</f>
        <v/>
      </c>
      <c r="P23" s="10">
        <f>Q23-N23</f>
        <v/>
      </c>
      <c r="Q23" s="10" t="n">
        <v>601</v>
      </c>
      <c r="R23" s="11">
        <f>Q23/$D$23</f>
        <v/>
      </c>
      <c r="S23" s="12">
        <f>T23-Q23</f>
        <v/>
      </c>
      <c r="T23" s="12" t="n">
        <v>601</v>
      </c>
      <c r="U23" s="13">
        <f>T23/$D$23</f>
        <v/>
      </c>
      <c r="V23" s="8" t="inlineStr"/>
    </row>
    <row r="24">
      <c r="A24" s="7" t="n">
        <v>20</v>
      </c>
      <c r="B24" s="8" t="inlineStr">
        <is>
          <t>Lagenda Suria</t>
        </is>
      </c>
      <c r="C24" s="9" t="n">
        <v>45398</v>
      </c>
      <c r="D24" s="10" t="n">
        <v>359</v>
      </c>
      <c r="E24" s="7" t="inlineStr">
        <is>
          <t>30223-2</t>
        </is>
      </c>
      <c r="F24" s="8" t="inlineStr">
        <is>
          <t>LAGENDA MERSING  SDN. BHD.</t>
        </is>
      </c>
      <c r="G24" s="10" t="n"/>
      <c r="H24" s="10" t="n">
        <v>246</v>
      </c>
      <c r="I24" s="11">
        <f>H24/$D$24</f>
        <v/>
      </c>
      <c r="J24" s="10">
        <f>K24-H24</f>
        <v/>
      </c>
      <c r="K24" s="10" t="n">
        <v>249</v>
      </c>
      <c r="L24" s="11">
        <f>K24/$D$24</f>
        <v/>
      </c>
      <c r="M24" s="10">
        <f>N24-K24</f>
        <v/>
      </c>
      <c r="N24" s="10" t="n">
        <v>251</v>
      </c>
      <c r="O24" s="11">
        <f>N24/$D$24</f>
        <v/>
      </c>
      <c r="P24" s="10">
        <f>Q24-N24</f>
        <v/>
      </c>
      <c r="Q24" s="10" t="n">
        <v>252</v>
      </c>
      <c r="R24" s="11">
        <f>Q24/$D$24</f>
        <v/>
      </c>
      <c r="S24" s="12">
        <f>T24-Q24</f>
        <v/>
      </c>
      <c r="T24" s="12" t="n">
        <v>257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La Lumiere (Nova/Lyra phases)</t>
        </is>
      </c>
      <c r="C25" s="9" t="n">
        <v>45744</v>
      </c>
      <c r="D25" s="10" t="n">
        <v>893</v>
      </c>
      <c r="E25" s="7" t="inlineStr">
        <is>
          <t>30223-3</t>
        </is>
      </c>
      <c r="F25" s="8" t="inlineStr">
        <is>
          <t>LAGENDA MERSING  SDN. BHD.</t>
        </is>
      </c>
      <c r="G25" s="10" t="n"/>
      <c r="H25" s="10" t="n">
        <v>748</v>
      </c>
      <c r="I25" s="11">
        <f>H25/$D$25</f>
        <v/>
      </c>
      <c r="J25" s="10">
        <f>K25-H25</f>
        <v/>
      </c>
      <c r="K25" s="10" t="n">
        <v>754</v>
      </c>
      <c r="L25" s="11">
        <f>K25/$D$25</f>
        <v/>
      </c>
      <c r="M25" s="10">
        <f>N25-K25</f>
        <v/>
      </c>
      <c r="N25" s="10" t="n">
        <v>761</v>
      </c>
      <c r="O25" s="11">
        <f>N25/$D$25</f>
        <v/>
      </c>
      <c r="P25" s="10">
        <f>Q25-N25</f>
        <v/>
      </c>
      <c r="Q25" s="10" t="n">
        <v>764</v>
      </c>
      <c r="R25" s="11">
        <f>Q25/$D$25</f>
        <v/>
      </c>
      <c r="S25" s="12">
        <f>T25-Q25</f>
        <v/>
      </c>
      <c r="T25" s="12" t="n">
        <v>766</v>
      </c>
      <c r="U25" s="13">
        <f>T25/$D$25</f>
        <v/>
      </c>
      <c r="V25" s="8" t="inlineStr"/>
    </row>
    <row r="26">
      <c r="A26" s="7" t="n">
        <v>22</v>
      </c>
      <c r="B26" s="8" t="inlineStr">
        <is>
          <t>La Lumiere</t>
        </is>
      </c>
      <c r="C26" s="9" t="n">
        <v>45862</v>
      </c>
      <c r="D26" s="10" t="n">
        <v>1918</v>
      </c>
      <c r="E26" s="7" t="inlineStr">
        <is>
          <t>30223-4</t>
        </is>
      </c>
      <c r="F26" s="8" t="inlineStr">
        <is>
          <t>LAGENDA MERSING  SDN. BHD.</t>
        </is>
      </c>
      <c r="G26" s="10" t="n"/>
      <c r="H26" s="10" t="n">
        <v>1721</v>
      </c>
      <c r="I26" s="11">
        <f>H26/$D$26</f>
        <v/>
      </c>
      <c r="J26" s="10">
        <f>K26-H26</f>
        <v/>
      </c>
      <c r="K26" s="10" t="n">
        <v>1737</v>
      </c>
      <c r="L26" s="11">
        <f>K26/$D$26</f>
        <v/>
      </c>
      <c r="M26" s="10">
        <f>N26-K26</f>
        <v/>
      </c>
      <c r="N26" s="10" t="n">
        <v>1754</v>
      </c>
      <c r="O26" s="11">
        <f>N26/$D$26</f>
        <v/>
      </c>
      <c r="P26" s="10">
        <f>Q26-N26</f>
        <v/>
      </c>
      <c r="Q26" s="10" t="n">
        <v>1774</v>
      </c>
      <c r="R26" s="11">
        <f>Q26/$D$26</f>
        <v/>
      </c>
      <c r="S26" s="12">
        <f>T26-Q26</f>
        <v/>
      </c>
      <c r="T26" s="12" t="n">
        <v>1787</v>
      </c>
      <c r="U26" s="13">
        <f>T26/$D$26</f>
        <v/>
      </c>
      <c r="V26" s="8" t="inlineStr"/>
    </row>
    <row r="27">
      <c r="A27" s="7" t="n">
        <v>23</v>
      </c>
      <c r="B27" s="8" t="inlineStr">
        <is>
          <t>Lagenda Suria - Samudra phase</t>
        </is>
      </c>
      <c r="C27" s="9" t="n">
        <v>45889</v>
      </c>
      <c r="D27" s="10" t="n">
        <v>1379</v>
      </c>
      <c r="E27" s="7" t="inlineStr">
        <is>
          <t>30223-5</t>
        </is>
      </c>
      <c r="F27" s="8" t="inlineStr">
        <is>
          <t>LAGENDA MERSING  SDN. BHD.</t>
        </is>
      </c>
      <c r="G27" s="10" t="n"/>
      <c r="H27" s="10" t="n">
        <v>369</v>
      </c>
      <c r="I27" s="11">
        <f>H27/$D$27</f>
        <v/>
      </c>
      <c r="J27" s="10">
        <f>K27-H27</f>
        <v/>
      </c>
      <c r="K27" s="10" t="n">
        <v>382</v>
      </c>
      <c r="L27" s="11">
        <f>K27/$D$27</f>
        <v/>
      </c>
      <c r="M27" s="10">
        <f>N27-K27</f>
        <v/>
      </c>
      <c r="N27" s="10" t="n">
        <v>396</v>
      </c>
      <c r="O27" s="11">
        <f>N27/$D$27</f>
        <v/>
      </c>
      <c r="P27" s="10">
        <f>Q27-N27</f>
        <v/>
      </c>
      <c r="Q27" s="10" t="n">
        <v>403</v>
      </c>
      <c r="R27" s="11">
        <f>Q27/$D$27</f>
        <v/>
      </c>
      <c r="S27" s="12">
        <f>T27-Q27</f>
        <v/>
      </c>
      <c r="T27" s="12" t="n">
        <v>415</v>
      </c>
      <c r="U27" s="13">
        <f>T27/$D$27</f>
        <v/>
      </c>
      <c r="V27" s="8" t="inlineStr"/>
    </row>
    <row r="28">
      <c r="A28" s="7" t="n">
        <v>24</v>
      </c>
      <c r="B28" s="8" t="inlineStr">
        <is>
          <t>La Lumiere - Lexa phase</t>
        </is>
      </c>
      <c r="C28" s="9" t="n">
        <v>46094</v>
      </c>
      <c r="D28" s="10" t="n">
        <v>800</v>
      </c>
      <c r="E28" s="7" t="inlineStr">
        <is>
          <t>30223-6</t>
        </is>
      </c>
      <c r="F28" s="8" t="inlineStr">
        <is>
          <t>LAGENDA MERSING  SDN. BHD.</t>
        </is>
      </c>
      <c r="G28" s="10" t="n"/>
      <c r="H28" s="10" t="n">
        <v>460</v>
      </c>
      <c r="I28" s="11">
        <f>H28/$D$28</f>
        <v/>
      </c>
      <c r="J28" s="10">
        <f>K28-H28</f>
        <v/>
      </c>
      <c r="K28" s="10" t="n">
        <v>472</v>
      </c>
      <c r="L28" s="11">
        <f>K28/$D$28</f>
        <v/>
      </c>
      <c r="M28" s="10">
        <f>N28-K28</f>
        <v/>
      </c>
      <c r="N28" s="10" t="n">
        <v>482</v>
      </c>
      <c r="O28" s="11">
        <f>N28/$D$28</f>
        <v/>
      </c>
      <c r="P28" s="10">
        <f>Q28-N28</f>
        <v/>
      </c>
      <c r="Q28" s="10" t="n">
        <v>498</v>
      </c>
      <c r="R28" s="11">
        <f>Q28/$D$28</f>
        <v/>
      </c>
      <c r="S28" s="12">
        <f>T28-Q28</f>
        <v/>
      </c>
      <c r="T28" s="12" t="n">
        <v>499</v>
      </c>
      <c r="U28" s="13">
        <f>T28/$D$28</f>
        <v/>
      </c>
      <c r="V28" s="8" t="inlineStr"/>
    </row>
    <row r="29">
      <c r="A29" s="7" t="n">
        <v>25</v>
      </c>
      <c r="B29" s="8" t="inlineStr">
        <is>
          <t>La Lumiere - Rhea phase</t>
        </is>
      </c>
      <c r="C29" s="9" t="n">
        <v>46220</v>
      </c>
      <c r="D29" s="10" t="n">
        <v>2013</v>
      </c>
      <c r="E29" s="7" t="inlineStr">
        <is>
          <t>30223-7</t>
        </is>
      </c>
      <c r="F29" s="8" t="inlineStr">
        <is>
          <t>LAGENDA MERSING  SDN. BHD.</t>
        </is>
      </c>
      <c r="G29" s="10" t="n"/>
      <c r="H29" s="10" t="n">
        <v>3</v>
      </c>
      <c r="I29" s="11">
        <f>H29/$D$29</f>
        <v/>
      </c>
      <c r="J29" s="10">
        <f>K29-H29</f>
        <v/>
      </c>
      <c r="K29" s="10" t="n">
        <v>4</v>
      </c>
      <c r="L29" s="11">
        <f>K29/$D$29</f>
        <v/>
      </c>
      <c r="M29" s="10">
        <f>N29-K29</f>
        <v/>
      </c>
      <c r="N29" s="10" t="n">
        <v>4</v>
      </c>
      <c r="O29" s="11">
        <f>N29/$D$29</f>
        <v/>
      </c>
      <c r="P29" s="10">
        <f>Q29-N29</f>
        <v/>
      </c>
      <c r="Q29" s="10" t="n">
        <v>4</v>
      </c>
      <c r="R29" s="11">
        <f>Q29/$D$29</f>
        <v/>
      </c>
      <c r="S29" s="12">
        <f>T29-Q29</f>
        <v/>
      </c>
      <c r="T29" s="12" t="n">
        <v>4</v>
      </c>
      <c r="U29" s="13">
        <f>T29/$D$29</f>
        <v/>
      </c>
      <c r="V29" s="8" t="inlineStr"/>
    </row>
    <row r="30">
      <c r="A30" s="7" t="n">
        <v>26</v>
      </c>
      <c r="B30" s="8" t="inlineStr">
        <is>
          <t>Taman Pengkalan Impian (i-Molek)</t>
        </is>
      </c>
      <c r="C30" s="9" t="n">
        <v>45351</v>
      </c>
      <c r="D30" s="10" t="n">
        <v>201</v>
      </c>
      <c r="E30" s="7" t="inlineStr">
        <is>
          <t>30348-3</t>
        </is>
      </c>
      <c r="F30" s="8" t="inlineStr">
        <is>
          <t>ANJURAN LAGENDA SDN. BHD.</t>
        </is>
      </c>
      <c r="G30" s="10" t="n"/>
      <c r="H30" s="10" t="n">
        <v>200</v>
      </c>
      <c r="I30" s="11">
        <f>H30/$D$30</f>
        <v/>
      </c>
      <c r="J30" s="10">
        <f>K30-H30</f>
        <v/>
      </c>
      <c r="K30" s="10" t="n">
        <v>200</v>
      </c>
      <c r="L30" s="11">
        <f>K30/$D$30</f>
        <v/>
      </c>
      <c r="M30" s="10">
        <f>N30-K30</f>
        <v/>
      </c>
      <c r="N30" s="10" t="n">
        <v>200</v>
      </c>
      <c r="O30" s="11">
        <f>N30/$D$30</f>
        <v/>
      </c>
      <c r="P30" s="10">
        <f>Q30-N30</f>
        <v/>
      </c>
      <c r="Q30" s="10" t="n">
        <v>200</v>
      </c>
      <c r="R30" s="11">
        <f>Q30/$D$30</f>
        <v/>
      </c>
      <c r="S30" s="12">
        <f>T30-Q30</f>
        <v/>
      </c>
      <c r="T30" s="12" t="n">
        <v>200</v>
      </c>
      <c r="U30" s="13">
        <f>T30/$D$30</f>
        <v/>
      </c>
      <c r="V30" s="8" t="inlineStr"/>
    </row>
    <row r="31">
      <c r="A31" s="7" t="n">
        <v>27</v>
      </c>
      <c r="B31" s="8" t="inlineStr">
        <is>
          <t>Taman Pengkalan Impian</t>
        </is>
      </c>
      <c r="C31" s="9" t="n">
        <v>45824</v>
      </c>
      <c r="D31" s="10" t="n">
        <v>146</v>
      </c>
      <c r="E31" s="7" t="inlineStr">
        <is>
          <t>30348-4</t>
        </is>
      </c>
      <c r="F31" s="8" t="inlineStr">
        <is>
          <t>ANJURAN LAGENDA SDN. BHD.</t>
        </is>
      </c>
      <c r="G31" s="10" t="n"/>
      <c r="H31" s="10" t="n">
        <v>78</v>
      </c>
      <c r="I31" s="11">
        <f>H31/$D$31</f>
        <v/>
      </c>
      <c r="J31" s="10">
        <f>K31-H31</f>
        <v/>
      </c>
      <c r="K31" s="10" t="n">
        <v>79</v>
      </c>
      <c r="L31" s="11">
        <f>K31/$D$31</f>
        <v/>
      </c>
      <c r="M31" s="10">
        <f>N31-K31</f>
        <v/>
      </c>
      <c r="N31" s="10" t="n">
        <v>80</v>
      </c>
      <c r="O31" s="11">
        <f>N31/$D$31</f>
        <v/>
      </c>
      <c r="P31" s="10">
        <f>Q31-N31</f>
        <v/>
      </c>
      <c r="Q31" s="10" t="n">
        <v>81</v>
      </c>
      <c r="R31" s="11">
        <f>Q31/$D$31</f>
        <v/>
      </c>
      <c r="S31" s="12">
        <f>T31-Q31</f>
        <v/>
      </c>
      <c r="T31" s="12" t="n">
        <v>82</v>
      </c>
      <c r="U31" s="13">
        <f>T31/$D$31</f>
        <v/>
      </c>
      <c r="V31" s="8" t="inlineStr"/>
    </row>
    <row r="32">
      <c r="A32" s="7" t="n">
        <v>28</v>
      </c>
      <c r="B32" s="8" t="inlineStr">
        <is>
          <t>Taman Pengkalan Impian</t>
        </is>
      </c>
      <c r="C32" s="9" t="n">
        <v>45910</v>
      </c>
      <c r="D32" s="10" t="n">
        <v>196</v>
      </c>
      <c r="E32" s="7" t="inlineStr">
        <is>
          <t>30348-5</t>
        </is>
      </c>
      <c r="F32" s="8" t="inlineStr">
        <is>
          <t>ANJURAN LAGENDA SDN. BHD.</t>
        </is>
      </c>
      <c r="G32" s="10" t="n"/>
      <c r="H32" s="10" t="n">
        <v>171</v>
      </c>
      <c r="I32" s="11">
        <f>H32/$D$32</f>
        <v/>
      </c>
      <c r="J32" s="10">
        <f>K32-H32</f>
        <v/>
      </c>
      <c r="K32" s="10" t="n">
        <v>174</v>
      </c>
      <c r="L32" s="11">
        <f>K32/$D$32</f>
        <v/>
      </c>
      <c r="M32" s="10">
        <f>N32-K32</f>
        <v/>
      </c>
      <c r="N32" s="10" t="n">
        <v>174</v>
      </c>
      <c r="O32" s="11">
        <f>N32/$D$32</f>
        <v/>
      </c>
      <c r="P32" s="10">
        <f>Q32-N32</f>
        <v/>
      </c>
      <c r="Q32" s="10" t="n">
        <v>176</v>
      </c>
      <c r="R32" s="11">
        <f>Q32/$D$32</f>
        <v/>
      </c>
      <c r="S32" s="12">
        <f>T32-Q32</f>
        <v/>
      </c>
      <c r="T32" s="12" t="n">
        <v>177</v>
      </c>
      <c r="U32" s="13">
        <f>T32/$D$32</f>
        <v/>
      </c>
      <c r="V32" s="8" t="inlineStr"/>
    </row>
    <row r="33">
      <c r="A33" s="7" t="n">
        <v>29</v>
      </c>
      <c r="B33" s="8" t="inlineStr">
        <is>
          <t>Lagenda Aman (Shorea/Dahlia phases)</t>
        </is>
      </c>
      <c r="C33" s="9" t="n">
        <v>45069</v>
      </c>
      <c r="D33" s="10" t="n">
        <v>1449</v>
      </c>
      <c r="E33" s="7" t="inlineStr">
        <is>
          <t>30377-1</t>
        </is>
      </c>
      <c r="F33" s="8" t="inlineStr">
        <is>
          <t>LAGENDA TAPAH  SDN. BHD.</t>
        </is>
      </c>
      <c r="G33" s="10" t="n"/>
      <c r="H33" s="10" t="n">
        <v>1245</v>
      </c>
      <c r="I33" s="11">
        <f>H33/$D$33</f>
        <v/>
      </c>
      <c r="J33" s="10">
        <f>K33-H33</f>
        <v/>
      </c>
      <c r="K33" s="10" t="n">
        <v>1245</v>
      </c>
      <c r="L33" s="11">
        <f>K33/$D$33</f>
        <v/>
      </c>
      <c r="M33" s="10">
        <f>N33-K33</f>
        <v/>
      </c>
      <c r="N33" s="10" t="n">
        <v>1245</v>
      </c>
      <c r="O33" s="11">
        <f>N33/$D$33</f>
        <v/>
      </c>
      <c r="P33" s="10">
        <f>Q33-N33</f>
        <v/>
      </c>
      <c r="Q33" s="10" t="n">
        <v>1245</v>
      </c>
      <c r="R33" s="11">
        <f>Q33/$D$33</f>
        <v/>
      </c>
      <c r="S33" s="12">
        <f>T33-Q33</f>
        <v/>
      </c>
      <c r="T33" s="12" t="n">
        <v>1245</v>
      </c>
      <c r="U33" s="13">
        <f>T33/$D$33</f>
        <v/>
      </c>
      <c r="V33" s="8" t="inlineStr"/>
    </row>
    <row r="34">
      <c r="A34" s="7" t="n">
        <v>30</v>
      </c>
      <c r="B34" s="8" t="inlineStr">
        <is>
          <t>Bidoria Residensi</t>
        </is>
      </c>
      <c r="C34" s="9" t="n">
        <v>45037</v>
      </c>
      <c r="D34" s="10" t="n">
        <v>56</v>
      </c>
      <c r="E34" s="7" t="inlineStr">
        <is>
          <t>19950-2</t>
        </is>
      </c>
      <c r="F34" s="8" t="inlineStr"/>
      <c r="G34" s="10" t="n"/>
      <c r="H34" s="10" t="n">
        <v>3</v>
      </c>
      <c r="I34" s="11">
        <f>H34/$D$34</f>
        <v/>
      </c>
      <c r="J34" s="10">
        <f>K34-H34</f>
        <v/>
      </c>
      <c r="K34" s="10" t="n">
        <v>3</v>
      </c>
      <c r="L34" s="11">
        <f>K34/$D$34</f>
        <v/>
      </c>
      <c r="M34" s="10">
        <f>N34-K34</f>
        <v/>
      </c>
      <c r="N34" s="10" t="n">
        <v>3</v>
      </c>
      <c r="O34" s="11">
        <f>N34/$D$34</f>
        <v/>
      </c>
      <c r="P34" s="10">
        <f>Q34-N34</f>
        <v/>
      </c>
      <c r="Q34" s="10" t="n">
        <v>3</v>
      </c>
      <c r="R34" s="11">
        <f>Q34/$D$34</f>
        <v/>
      </c>
      <c r="S34" s="12">
        <f>T34-Q34</f>
        <v/>
      </c>
      <c r="T34" s="12" t="n">
        <v>3</v>
      </c>
      <c r="U34" s="13">
        <f>T34/$D$34</f>
        <v/>
      </c>
      <c r="V34" s="8" t="inlineStr"/>
    </row>
    <row r="35">
      <c r="A35" s="7" t="n">
        <v>31</v>
      </c>
      <c r="B35" s="8" t="inlineStr">
        <is>
          <t>Maxitanah Sdn. Bhd. Terraced Homes</t>
        </is>
      </c>
      <c r="C35" s="9" t="n">
        <v>44051</v>
      </c>
      <c r="D35" s="10" t="n">
        <v>397</v>
      </c>
      <c r="E35" s="7" t="inlineStr">
        <is>
          <t>19950-1</t>
        </is>
      </c>
      <c r="F35" s="8" t="inlineStr"/>
      <c r="G35" s="10" t="n"/>
      <c r="H35" s="10" t="n">
        <v>218</v>
      </c>
      <c r="I35" s="11">
        <f>H35/$D$35</f>
        <v/>
      </c>
      <c r="J35" s="10">
        <f>K35-H35</f>
        <v/>
      </c>
      <c r="K35" s="10" t="n">
        <v>218</v>
      </c>
      <c r="L35" s="11">
        <f>K35/$D$35</f>
        <v/>
      </c>
      <c r="M35" s="10">
        <f>N35-K35</f>
        <v/>
      </c>
      <c r="N35" s="10" t="n">
        <v>218</v>
      </c>
      <c r="O35" s="11">
        <f>N35/$D$35</f>
        <v/>
      </c>
      <c r="P35" s="10">
        <f>Q35-N35</f>
        <v/>
      </c>
      <c r="Q35" s="10" t="n">
        <v>218</v>
      </c>
      <c r="R35" s="11">
        <f>Q35/$D$35</f>
        <v/>
      </c>
      <c r="S35" s="12">
        <f>T35-Q35</f>
        <v/>
      </c>
      <c r="T35" s="12" t="n">
        <v>218</v>
      </c>
      <c r="U35" s="13">
        <f>T35/$D$35</f>
        <v/>
      </c>
      <c r="V35" s="8" t="inlineStr"/>
    </row>
    <row r="36">
      <c r="A36" s="7" t="n">
        <v>32</v>
      </c>
      <c r="B36" s="8" t="inlineStr">
        <is>
          <t>Lagenda Teluk Intan</t>
        </is>
      </c>
      <c r="C36" s="9" t="n">
        <v>44533</v>
      </c>
      <c r="D36" s="10" t="n">
        <v>1098</v>
      </c>
      <c r="E36" s="7" t="inlineStr">
        <is>
          <t>14283-14</t>
        </is>
      </c>
      <c r="F36" s="8" t="inlineStr"/>
      <c r="G36" s="10" t="n"/>
      <c r="H36" s="10" t="n">
        <v>781</v>
      </c>
      <c r="I36" s="11">
        <f>H36/$D$36</f>
        <v/>
      </c>
      <c r="J36" s="10">
        <f>K36-H36</f>
        <v/>
      </c>
      <c r="K36" s="10" t="n">
        <v>781</v>
      </c>
      <c r="L36" s="11">
        <f>K36/$D$36</f>
        <v/>
      </c>
      <c r="M36" s="10">
        <f>N36-K36</f>
        <v/>
      </c>
      <c r="N36" s="10" t="n">
        <v>781</v>
      </c>
      <c r="O36" s="11">
        <f>N36/$D$36</f>
        <v/>
      </c>
      <c r="P36" s="10">
        <f>Q36-N36</f>
        <v/>
      </c>
      <c r="Q36" s="10" t="n">
        <v>781</v>
      </c>
      <c r="R36" s="11">
        <f>Q36/$D$36</f>
        <v/>
      </c>
      <c r="S36" s="12">
        <f>T36-Q36</f>
        <v/>
      </c>
      <c r="T36" s="12" t="n">
        <v>781</v>
      </c>
      <c r="U36" s="13">
        <f>T36/$D$36</f>
        <v/>
      </c>
      <c r="V36" s="8" t="inlineStr"/>
    </row>
    <row r="37">
      <c r="A37" s="7" t="n">
        <v>33</v>
      </c>
      <c r="B37" s="8" t="inlineStr">
        <is>
          <t>Lagenda Tropika</t>
        </is>
      </c>
      <c r="C37" s="9" t="n">
        <v>44511</v>
      </c>
      <c r="D37" s="10" t="n">
        <v>1783</v>
      </c>
      <c r="E37" s="7" t="inlineStr">
        <is>
          <t>14283-13</t>
        </is>
      </c>
      <c r="F37" s="8" t="inlineStr"/>
      <c r="G37" s="10" t="n"/>
      <c r="H37" s="10" t="n">
        <v>1435</v>
      </c>
      <c r="I37" s="11">
        <f>H37/$D$37</f>
        <v/>
      </c>
      <c r="J37" s="10">
        <f>K37-H37</f>
        <v/>
      </c>
      <c r="K37" s="10" t="n">
        <v>1435</v>
      </c>
      <c r="L37" s="11">
        <f>K37/$D$37</f>
        <v/>
      </c>
      <c r="M37" s="10">
        <f>N37-K37</f>
        <v/>
      </c>
      <c r="N37" s="10" t="n">
        <v>1435</v>
      </c>
      <c r="O37" s="11">
        <f>N37/$D$37</f>
        <v/>
      </c>
      <c r="P37" s="10">
        <f>Q37-N37</f>
        <v/>
      </c>
      <c r="Q37" s="10" t="n">
        <v>1435</v>
      </c>
      <c r="R37" s="11">
        <f>Q37/$D$37</f>
        <v/>
      </c>
      <c r="S37" s="12">
        <f>T37-Q37</f>
        <v/>
      </c>
      <c r="T37" s="12" t="n">
        <v>1435</v>
      </c>
      <c r="U37" s="13">
        <f>T37/$D$37</f>
        <v/>
      </c>
      <c r="V37" s="8" t="inlineStr"/>
    </row>
    <row r="38">
      <c r="A38" s="7" t="n">
        <v>34</v>
      </c>
      <c r="B38" s="8" t="inlineStr">
        <is>
          <t>Bandar Baru Setiaawan Perdana</t>
        </is>
      </c>
      <c r="C38" s="9" t="n">
        <v>44545</v>
      </c>
      <c r="D38" s="10" t="n">
        <v>668</v>
      </c>
      <c r="E38" s="7" t="inlineStr">
        <is>
          <t>14283-15</t>
        </is>
      </c>
      <c r="F38" s="8" t="inlineStr"/>
      <c r="G38" s="10" t="n"/>
      <c r="H38" s="10" t="n">
        <v>620</v>
      </c>
      <c r="I38" s="11">
        <f>H38/$D$38</f>
        <v/>
      </c>
      <c r="J38" s="10">
        <f>K38-H38</f>
        <v/>
      </c>
      <c r="K38" s="10" t="n">
        <v>620</v>
      </c>
      <c r="L38" s="11">
        <f>K38/$D$38</f>
        <v/>
      </c>
      <c r="M38" s="10">
        <f>N38-K38</f>
        <v/>
      </c>
      <c r="N38" s="10" t="n">
        <v>620</v>
      </c>
      <c r="O38" s="11">
        <f>N38/$D$38</f>
        <v/>
      </c>
      <c r="P38" s="10">
        <f>Q38-N38</f>
        <v/>
      </c>
      <c r="Q38" s="10" t="n">
        <v>620</v>
      </c>
      <c r="R38" s="11">
        <f>Q38/$D$38</f>
        <v/>
      </c>
      <c r="S38" s="12">
        <f>T38-Q38</f>
        <v/>
      </c>
      <c r="T38" s="12" t="n">
        <v>620</v>
      </c>
      <c r="U38" s="13">
        <f>T38/$D$38</f>
        <v/>
      </c>
      <c r="V38" s="8" t="inlineStr"/>
    </row>
    <row r="39">
      <c r="A39" s="7" t="n">
        <v>35</v>
      </c>
      <c r="B39" s="8" t="inlineStr">
        <is>
          <t>Taman Bemban Permai</t>
        </is>
      </c>
      <c r="C39" s="9" t="n">
        <v>43844</v>
      </c>
      <c r="D39" s="10" t="n">
        <v>303</v>
      </c>
      <c r="E39" s="7" t="inlineStr">
        <is>
          <t>14283-9</t>
        </is>
      </c>
      <c r="F39" s="8" t="inlineStr"/>
      <c r="G39" s="10" t="n"/>
      <c r="H39" s="10" t="n">
        <v>204</v>
      </c>
      <c r="I39" s="11">
        <f>H39/$D$39</f>
        <v/>
      </c>
      <c r="J39" s="10">
        <f>K39-H39</f>
        <v/>
      </c>
      <c r="K39" s="10" t="n">
        <v>204</v>
      </c>
      <c r="L39" s="11">
        <f>K39/$D$39</f>
        <v/>
      </c>
      <c r="M39" s="10">
        <f>N39-K39</f>
        <v/>
      </c>
      <c r="N39" s="10" t="n">
        <v>204</v>
      </c>
      <c r="O39" s="11">
        <f>N39/$D$39</f>
        <v/>
      </c>
      <c r="P39" s="10">
        <f>Q39-N39</f>
        <v/>
      </c>
      <c r="Q39" s="10" t="n">
        <v>204</v>
      </c>
      <c r="R39" s="11">
        <f>Q39/$D$39</f>
        <v/>
      </c>
      <c r="S39" s="12">
        <f>T39-Q39</f>
        <v/>
      </c>
      <c r="T39" s="12" t="n">
        <v>204</v>
      </c>
      <c r="U39" s="13">
        <f>T39/$D$39</f>
        <v/>
      </c>
      <c r="V39" s="8" t="inlineStr"/>
    </row>
    <row r="40">
      <c r="A40" s="7" t="n">
        <v>36</v>
      </c>
      <c r="B40" s="8" t="inlineStr">
        <is>
          <t>Taman Mulia Signature</t>
        </is>
      </c>
      <c r="C40" s="9" t="n">
        <v>43851</v>
      </c>
      <c r="D40" s="10" t="n">
        <v>242</v>
      </c>
      <c r="E40" s="7" t="inlineStr">
        <is>
          <t>11225-9,11225-10</t>
        </is>
      </c>
      <c r="F40" s="8" t="inlineStr"/>
      <c r="G40" s="10" t="n"/>
      <c r="H40" s="10" t="n">
        <v>119</v>
      </c>
      <c r="I40" s="11">
        <f>H40/$D$40</f>
        <v/>
      </c>
      <c r="J40" s="10">
        <f>K40-H40</f>
        <v/>
      </c>
      <c r="K40" s="10" t="n">
        <v>119</v>
      </c>
      <c r="L40" s="11">
        <f>K40/$D$40</f>
        <v/>
      </c>
      <c r="M40" s="10">
        <f>N40-K40</f>
        <v/>
      </c>
      <c r="N40" s="10" t="n">
        <v>119</v>
      </c>
      <c r="O40" s="11">
        <f>N40/$D$40</f>
        <v/>
      </c>
      <c r="P40" s="10">
        <f>Q40-N40</f>
        <v/>
      </c>
      <c r="Q40" s="10" t="n">
        <v>119</v>
      </c>
      <c r="R40" s="11">
        <f>Q40/$D$40</f>
        <v/>
      </c>
      <c r="S40" s="12">
        <f>T40-Q40</f>
        <v/>
      </c>
      <c r="T40" s="12" t="n">
        <v>119</v>
      </c>
      <c r="U40" s="13">
        <f>T40/$D$40</f>
        <v/>
      </c>
      <c r="V40" s="8" t="inlineStr"/>
    </row>
    <row r="41">
      <c r="A41" s="7" t="n">
        <v>37</v>
      </c>
      <c r="B41" s="8" t="inlineStr">
        <is>
          <t>LA' AVIERA@SERENA</t>
        </is>
      </c>
      <c r="C41" s="9" t="n">
        <v>46296</v>
      </c>
      <c r="D41" s="10" t="n">
        <v>1056</v>
      </c>
      <c r="E41" s="7" t="inlineStr">
        <is>
          <t>11225-15</t>
        </is>
      </c>
      <c r="F41" s="8" t="inlineStr">
        <is>
          <t>BLOSSOM EASTLAND SDN. BHD.</t>
        </is>
      </c>
      <c r="G41" s="10" t="n"/>
      <c r="H41" s="10" t="n"/>
      <c r="I41" s="11" t="n"/>
      <c r="J41" s="10" t="n"/>
      <c r="K41" s="10" t="n"/>
      <c r="L41" s="11" t="n"/>
      <c r="M41" s="10" t="n"/>
      <c r="N41" s="10" t="n"/>
      <c r="O41" s="11" t="n"/>
      <c r="P41" s="10" t="n"/>
      <c r="Q41" s="10" t="n">
        <v>0</v>
      </c>
      <c r="R41" s="11">
        <f>Q41/$D$41</f>
        <v/>
      </c>
      <c r="S41" s="12">
        <f>T41-Q41</f>
        <v/>
      </c>
      <c r="T41" s="12" t="n">
        <v>0</v>
      </c>
      <c r="U41" s="13">
        <f>T41/$D$41</f>
        <v/>
      </c>
      <c r="V41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V3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(LBS)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Imperial Garden @ Bandar Putera Indah</t>
        </is>
      </c>
      <c r="C5" s="9" t="n">
        <v>45028</v>
      </c>
      <c r="D5" s="10" t="n">
        <v>30</v>
      </c>
      <c r="E5" s="7" t="inlineStr">
        <is>
          <t>11018-3</t>
        </is>
      </c>
      <c r="F5" s="8" t="inlineStr">
        <is>
          <t>MITC SDN. BHD.</t>
        </is>
      </c>
      <c r="G5" s="10" t="n"/>
      <c r="H5" s="10" t="n">
        <v>28</v>
      </c>
      <c r="I5" s="11">
        <f>H5/$D$5</f>
        <v/>
      </c>
      <c r="J5" s="10">
        <f>K5-H5</f>
        <v/>
      </c>
      <c r="K5" s="10" t="n">
        <v>28</v>
      </c>
      <c r="L5" s="11">
        <f>K5/$D$5</f>
        <v/>
      </c>
      <c r="M5" s="10">
        <f>N5-K5</f>
        <v/>
      </c>
      <c r="N5" s="10" t="n">
        <v>28</v>
      </c>
      <c r="O5" s="11">
        <f>N5/$D$5</f>
        <v/>
      </c>
      <c r="P5" s="10">
        <f>Q5-N5</f>
        <v/>
      </c>
      <c r="Q5" s="10" t="n">
        <v>28</v>
      </c>
      <c r="R5" s="11">
        <f>Q5/$D$5</f>
        <v/>
      </c>
      <c r="S5" s="12">
        <f>T5-Q5</f>
        <v/>
      </c>
      <c r="T5" s="12" t="n">
        <v>28</v>
      </c>
      <c r="U5" s="13">
        <f>T5/$D$5</f>
        <v/>
      </c>
      <c r="V5" s="8" t="inlineStr"/>
    </row>
    <row r="6">
      <c r="A6" s="7" t="n">
        <v>2</v>
      </c>
      <c r="B6" s="8" t="inlineStr">
        <is>
          <t>Sapphire Garden @ Bandar Putera Indah</t>
        </is>
      </c>
      <c r="C6" s="9" t="n">
        <v>45156</v>
      </c>
      <c r="D6" s="10" t="n">
        <v>33</v>
      </c>
      <c r="E6" s="7" t="inlineStr">
        <is>
          <t>11018-4</t>
        </is>
      </c>
      <c r="F6" s="8" t="inlineStr">
        <is>
          <t>MITC SDN. BHD.</t>
        </is>
      </c>
      <c r="G6" s="10" t="n"/>
      <c r="H6" s="10" t="n">
        <v>2</v>
      </c>
      <c r="I6" s="11">
        <f>H6/$D$6</f>
        <v/>
      </c>
      <c r="J6" s="10">
        <f>K6-H6</f>
        <v/>
      </c>
      <c r="K6" s="10" t="n">
        <v>2</v>
      </c>
      <c r="L6" s="11">
        <f>K6/$D$6</f>
        <v/>
      </c>
      <c r="M6" s="10">
        <f>N6-K6</f>
        <v/>
      </c>
      <c r="N6" s="10" t="n">
        <v>2</v>
      </c>
      <c r="O6" s="11">
        <f>N6/$D$6</f>
        <v/>
      </c>
      <c r="P6" s="10">
        <f>Q6-N6</f>
        <v/>
      </c>
      <c r="Q6" s="10" t="n">
        <v>2</v>
      </c>
      <c r="R6" s="11">
        <f>Q6/$D$6</f>
        <v/>
      </c>
      <c r="S6" s="12">
        <f>T6-Q6</f>
        <v/>
      </c>
      <c r="T6" s="12" t="n">
        <v>2</v>
      </c>
      <c r="U6" s="13">
        <f>T6/$D$6</f>
        <v/>
      </c>
      <c r="V6" s="8" t="inlineStr"/>
    </row>
    <row r="7">
      <c r="A7" s="7" t="n">
        <v>3</v>
      </c>
      <c r="B7" s="8" t="inlineStr">
        <is>
          <t>Idaman Perdana @ LBS Alam Perdana</t>
        </is>
      </c>
      <c r="C7" s="9" t="n">
        <v>45463</v>
      </c>
      <c r="D7" s="10" t="n">
        <v>1048</v>
      </c>
      <c r="E7" s="7" t="inlineStr">
        <is>
          <t>19183-13</t>
        </is>
      </c>
      <c r="F7" s="8" t="inlineStr">
        <is>
          <t>KEMUDI EHSAN SDN. BHD.</t>
        </is>
      </c>
      <c r="G7" s="10" t="n"/>
      <c r="H7" s="10" t="n">
        <v>984</v>
      </c>
      <c r="I7" s="11">
        <f>H7/$D$7</f>
        <v/>
      </c>
      <c r="J7" s="10">
        <f>K7-H7</f>
        <v/>
      </c>
      <c r="K7" s="10" t="n">
        <v>985</v>
      </c>
      <c r="L7" s="11">
        <f>K7/$D$7</f>
        <v/>
      </c>
      <c r="M7" s="10">
        <f>N7-K7</f>
        <v/>
      </c>
      <c r="N7" s="10" t="n">
        <v>987</v>
      </c>
      <c r="O7" s="11">
        <f>N7/$D$7</f>
        <v/>
      </c>
      <c r="P7" s="10">
        <f>Q7-N7</f>
        <v/>
      </c>
      <c r="Q7" s="10" t="n">
        <v>994</v>
      </c>
      <c r="R7" s="11">
        <f>Q7/$D$7</f>
        <v/>
      </c>
      <c r="S7" s="12">
        <f>T7-Q7</f>
        <v/>
      </c>
      <c r="T7" s="12" t="n">
        <v>995</v>
      </c>
      <c r="U7" s="13">
        <f>T7/$D$7</f>
        <v/>
      </c>
      <c r="V7" s="8" t="inlineStr">
        <is>
          <t>Latest sales - Block A: 495 units, Block B: 500 units</t>
        </is>
      </c>
    </row>
    <row r="8">
      <c r="A8" s="7" t="n">
        <v>4</v>
      </c>
      <c r="B8" s="8" t="inlineStr">
        <is>
          <t>Pangsapuri Saujana Indah</t>
        </is>
      </c>
      <c r="C8" s="9" t="n">
        <v>44994</v>
      </c>
      <c r="D8" s="10" t="n">
        <v>595</v>
      </c>
      <c r="E8" s="7" t="inlineStr">
        <is>
          <t>19398-5</t>
        </is>
      </c>
      <c r="F8" s="8" t="inlineStr">
        <is>
          <t>MULTI COURT DEVELOPERS SDN. BHD.</t>
        </is>
      </c>
      <c r="G8" s="10" t="n"/>
      <c r="H8" s="10" t="n">
        <v>592</v>
      </c>
      <c r="I8" s="11">
        <f>H8/$D$8</f>
        <v/>
      </c>
      <c r="J8" s="10">
        <f>K8-H8</f>
        <v/>
      </c>
      <c r="K8" s="10" t="n">
        <v>592</v>
      </c>
      <c r="L8" s="11">
        <f>K8/$D$8</f>
        <v/>
      </c>
      <c r="M8" s="10">
        <f>N8-K8</f>
        <v/>
      </c>
      <c r="N8" s="10" t="n">
        <v>592</v>
      </c>
      <c r="O8" s="11">
        <f>N8/$D$8</f>
        <v/>
      </c>
      <c r="P8" s="10">
        <f>Q8-N8</f>
        <v/>
      </c>
      <c r="Q8" s="10" t="n">
        <v>592</v>
      </c>
      <c r="R8" s="11">
        <f>Q8/$D$8</f>
        <v/>
      </c>
      <c r="S8" s="12">
        <f>T8-Q8</f>
        <v/>
      </c>
      <c r="T8" s="12" t="n">
        <v>592</v>
      </c>
      <c r="U8" s="13">
        <f>T8/$D$8</f>
        <v/>
      </c>
      <c r="V8" s="8" t="inlineStr">
        <is>
          <t>Latest sales - Block B: 592 units</t>
        </is>
      </c>
    </row>
    <row r="9">
      <c r="A9" s="7" t="n">
        <v>5</v>
      </c>
      <c r="B9" s="8" t="inlineStr">
        <is>
          <t>Pangsapuri Saujana Indah</t>
        </is>
      </c>
      <c r="C9" s="9" t="n">
        <v>45196</v>
      </c>
      <c r="D9" s="10" t="n">
        <v>393</v>
      </c>
      <c r="E9" s="7" t="inlineStr">
        <is>
          <t>19398-6</t>
        </is>
      </c>
      <c r="F9" s="8" t="inlineStr">
        <is>
          <t>MULTI COURT DEVELOPERS SDN. BHD.</t>
        </is>
      </c>
      <c r="G9" s="10" t="n"/>
      <c r="H9" s="10" t="n">
        <v>393</v>
      </c>
      <c r="I9" s="11">
        <f>H9/$D$9</f>
        <v/>
      </c>
      <c r="J9" s="10">
        <f>K9-H9</f>
        <v/>
      </c>
      <c r="K9" s="10" t="n">
        <v>393</v>
      </c>
      <c r="L9" s="11">
        <f>K9/$D$9</f>
        <v/>
      </c>
      <c r="M9" s="10">
        <f>N9-K9</f>
        <v/>
      </c>
      <c r="N9" s="10" t="n">
        <v>393</v>
      </c>
      <c r="O9" s="11">
        <f>N9/$D$9</f>
        <v/>
      </c>
      <c r="P9" s="10">
        <f>Q9-N9</f>
        <v/>
      </c>
      <c r="Q9" s="10" t="n">
        <v>393</v>
      </c>
      <c r="R9" s="11">
        <f>Q9/$D$9</f>
        <v/>
      </c>
      <c r="S9" s="12">
        <f>T9-Q9</f>
        <v/>
      </c>
      <c r="T9" s="12" t="n">
        <v>393</v>
      </c>
      <c r="U9" s="13">
        <f>T9/$D$9</f>
        <v/>
      </c>
      <c r="V9" s="8" t="inlineStr">
        <is>
          <t>Latest sales - Block A: 393 units</t>
        </is>
      </c>
    </row>
    <row r="10">
      <c r="A10" s="7" t="n">
        <v>6</v>
      </c>
      <c r="B10" s="8" t="inlineStr">
        <is>
          <t>KITA Bestari @ KITA Cybersouth</t>
        </is>
      </c>
      <c r="C10" s="9" t="n">
        <v>44999</v>
      </c>
      <c r="D10" s="10" t="n">
        <v>817</v>
      </c>
      <c r="E10" s="7" t="inlineStr">
        <is>
          <t>19533-5</t>
        </is>
      </c>
      <c r="F10" s="8" t="inlineStr">
        <is>
          <t>SELOKA SINARAN SDN. BHD.</t>
        </is>
      </c>
      <c r="G10" s="10" t="n"/>
      <c r="H10" s="10" t="n">
        <v>813</v>
      </c>
      <c r="I10" s="11">
        <f>H10/$D$10</f>
        <v/>
      </c>
      <c r="J10" s="10">
        <f>K10-H10</f>
        <v/>
      </c>
      <c r="K10" s="10" t="n">
        <v>813</v>
      </c>
      <c r="L10" s="11">
        <f>K10/$D$10</f>
        <v/>
      </c>
      <c r="M10" s="10">
        <f>N10-K10</f>
        <v/>
      </c>
      <c r="N10" s="10" t="n">
        <v>813</v>
      </c>
      <c r="O10" s="11">
        <f>N10/$D$10</f>
        <v/>
      </c>
      <c r="P10" s="10">
        <f>Q10-N10</f>
        <v/>
      </c>
      <c r="Q10" s="10" t="n">
        <v>813</v>
      </c>
      <c r="R10" s="11">
        <f>Q10/$D$10</f>
        <v/>
      </c>
      <c r="S10" s="12">
        <f>T10-Q10</f>
        <v/>
      </c>
      <c r="T10" s="12" t="n">
        <v>813</v>
      </c>
      <c r="U10" s="13">
        <f>T10/$D$10</f>
        <v/>
      </c>
      <c r="V10" s="8" t="inlineStr">
        <is>
          <t>Latest sales - Block KBS: 813 units</t>
        </is>
      </c>
    </row>
    <row r="11">
      <c r="A11" s="7" t="n">
        <v>7</v>
      </c>
      <c r="B11" s="8" t="inlineStr">
        <is>
          <t>Idaman Kita @ Cybersouth</t>
        </is>
      </c>
      <c r="C11" s="9" t="n">
        <v>46108</v>
      </c>
      <c r="D11" s="10" t="n">
        <v>1242</v>
      </c>
      <c r="E11" s="7" t="inlineStr">
        <is>
          <t>19533-6</t>
        </is>
      </c>
      <c r="F11" s="8" t="inlineStr">
        <is>
          <t>SELOKA SINARAN SDN. BHD.</t>
        </is>
      </c>
      <c r="G11" s="10" t="n"/>
      <c r="H11" s="10" t="n">
        <v>0</v>
      </c>
      <c r="I11" s="11">
        <f>H11/$D$11</f>
        <v/>
      </c>
      <c r="J11" s="10">
        <f>K11-H11</f>
        <v/>
      </c>
      <c r="K11" s="10" t="n">
        <v>0</v>
      </c>
      <c r="L11" s="11">
        <f>K11/$D$11</f>
        <v/>
      </c>
      <c r="M11" s="10">
        <f>N11-K11</f>
        <v/>
      </c>
      <c r="N11" s="10" t="n">
        <v>0</v>
      </c>
      <c r="O11" s="11">
        <f>N11/$D$11</f>
        <v/>
      </c>
      <c r="P11" s="10">
        <f>Q11-N11</f>
        <v/>
      </c>
      <c r="Q11" s="10" t="n">
        <v>0</v>
      </c>
      <c r="R11" s="11">
        <f>Q11/$D$11</f>
        <v/>
      </c>
      <c r="S11" s="12">
        <f>T11-Q11</f>
        <v/>
      </c>
      <c r="T11" s="12" t="n">
        <v>0</v>
      </c>
      <c r="U11" s="13">
        <f>T11/$D$11</f>
        <v/>
      </c>
      <c r="V11" s="8" t="inlineStr"/>
    </row>
    <row r="12">
      <c r="A12" s="7" t="n">
        <v>8</v>
      </c>
      <c r="B12" s="8" t="inlineStr">
        <is>
          <t>Pangsapuri Kita Seri @ KITA Cybersouth</t>
        </is>
      </c>
      <c r="C12" s="9" t="n">
        <v>45887</v>
      </c>
      <c r="D12" s="10" t="n">
        <v>1171</v>
      </c>
      <c r="E12" s="7" t="inlineStr">
        <is>
          <t>19924-3</t>
        </is>
      </c>
      <c r="F12" s="8" t="inlineStr">
        <is>
          <t>KOLEKSI SIGMA SDN. BHD.</t>
        </is>
      </c>
      <c r="G12" s="10" t="n"/>
      <c r="H12" s="10" t="n">
        <v>0</v>
      </c>
      <c r="I12" s="11">
        <f>H12/$D$12</f>
        <v/>
      </c>
      <c r="J12" s="10">
        <f>K12-H12</f>
        <v/>
      </c>
      <c r="K12" s="10" t="n">
        <v>0</v>
      </c>
      <c r="L12" s="11">
        <f>K12/$D$12</f>
        <v/>
      </c>
      <c r="M12" s="10">
        <f>N12-K12</f>
        <v/>
      </c>
      <c r="N12" s="10" t="n">
        <v>0</v>
      </c>
      <c r="O12" s="11">
        <f>N12/$D$12</f>
        <v/>
      </c>
      <c r="P12" s="10">
        <f>Q12-N12</f>
        <v/>
      </c>
      <c r="Q12" s="10" t="n">
        <v>0</v>
      </c>
      <c r="R12" s="11">
        <f>Q12/$D$12</f>
        <v/>
      </c>
      <c r="S12" s="12">
        <f>T12-Q12</f>
        <v/>
      </c>
      <c r="T12" s="12" t="n">
        <v>0</v>
      </c>
      <c r="U12" s="13">
        <f>T12/$D$12</f>
        <v/>
      </c>
      <c r="V12" s="8" t="inlineStr"/>
    </row>
    <row r="13">
      <c r="A13" s="7" t="n">
        <v>9</v>
      </c>
      <c r="B13" s="8" t="inlineStr">
        <is>
          <t>BSP Sutera</t>
        </is>
      </c>
      <c r="C13" s="9" t="n">
        <v>45384</v>
      </c>
      <c r="D13" s="10" t="n">
        <v>421</v>
      </c>
      <c r="E13" s="7" t="inlineStr">
        <is>
          <t>8695-14</t>
        </is>
      </c>
      <c r="F13" s="8" t="inlineStr">
        <is>
          <t>SERIBU BAIDURI SDN. BHD.</t>
        </is>
      </c>
      <c r="G13" s="10" t="n"/>
      <c r="H13" s="10" t="n">
        <v>311</v>
      </c>
      <c r="I13" s="11">
        <f>H13/$D$13</f>
        <v/>
      </c>
      <c r="J13" s="10">
        <f>K13-H13</f>
        <v/>
      </c>
      <c r="K13" s="10" t="n">
        <v>322</v>
      </c>
      <c r="L13" s="11">
        <f>K13/$D$13</f>
        <v/>
      </c>
      <c r="M13" s="10">
        <f>N13-K13</f>
        <v/>
      </c>
      <c r="N13" s="10" t="n">
        <v>329</v>
      </c>
      <c r="O13" s="11">
        <f>N13/$D$13</f>
        <v/>
      </c>
      <c r="P13" s="10">
        <f>Q13-N13</f>
        <v/>
      </c>
      <c r="Q13" s="10" t="n">
        <v>334</v>
      </c>
      <c r="R13" s="11">
        <f>Q13/$D$13</f>
        <v/>
      </c>
      <c r="S13" s="12">
        <f>T13-Q13</f>
        <v/>
      </c>
      <c r="T13" s="12" t="n">
        <v>349</v>
      </c>
      <c r="U13" s="13">
        <f>T13/$D$13</f>
        <v/>
      </c>
      <c r="V13" s="8" t="inlineStr">
        <is>
          <t>Latest sales - Block A: 273 units</t>
        </is>
      </c>
    </row>
    <row r="14">
      <c r="A14" s="7" t="n">
        <v>10</v>
      </c>
      <c r="B14" s="8" t="inlineStr">
        <is>
          <t>Pangsapuri Kita Sejati</t>
        </is>
      </c>
      <c r="C14" s="9" t="n">
        <v>44827</v>
      </c>
      <c r="D14" s="10" t="n">
        <v>1054</v>
      </c>
      <c r="E14" s="7" t="inlineStr">
        <is>
          <t>30027-1</t>
        </is>
      </c>
      <c r="F14" s="8" t="inlineStr"/>
      <c r="G14" s="10" t="n"/>
      <c r="H14" s="10" t="n">
        <v>890</v>
      </c>
      <c r="I14" s="11">
        <f>H14/$D$14</f>
        <v/>
      </c>
      <c r="J14" s="10">
        <f>K14-H14</f>
        <v/>
      </c>
      <c r="K14" s="10" t="n">
        <v>890</v>
      </c>
      <c r="L14" s="11">
        <f>K14/$D$14</f>
        <v/>
      </c>
      <c r="M14" s="10">
        <f>N14-K14</f>
        <v/>
      </c>
      <c r="N14" s="10" t="n">
        <v>890</v>
      </c>
      <c r="O14" s="11">
        <f>N14/$D$14</f>
        <v/>
      </c>
      <c r="P14" s="10">
        <f>Q14-N14</f>
        <v/>
      </c>
      <c r="Q14" s="10" t="n">
        <v>890</v>
      </c>
      <c r="R14" s="11">
        <f>Q14/$D$14</f>
        <v/>
      </c>
      <c r="S14" s="12">
        <f>T14-Q14</f>
        <v/>
      </c>
      <c r="T14" s="12" t="n">
        <v>890</v>
      </c>
      <c r="U14" s="13">
        <f>T14/$D$14</f>
        <v/>
      </c>
      <c r="V14" s="8" t="inlineStr">
        <is>
          <t>Latest sales - Block KSA: 451 units, Block KSB: 439 units</t>
        </is>
      </c>
    </row>
    <row r="15">
      <c r="A15" s="7" t="n">
        <v>11</v>
      </c>
      <c r="B15" s="8" t="inlineStr">
        <is>
          <t>Centrum Iris + Centrum Iris Shop</t>
        </is>
      </c>
      <c r="C15" s="9" t="n">
        <v>45665</v>
      </c>
      <c r="D15" s="10" t="n">
        <v>705</v>
      </c>
      <c r="E15" s="7" t="inlineStr">
        <is>
          <t>30401-1</t>
        </is>
      </c>
      <c r="F15" s="8" t="inlineStr"/>
      <c r="G15" s="10" t="n"/>
      <c r="H15" s="10" t="n">
        <v>475</v>
      </c>
      <c r="I15" s="11">
        <f>H15/$D$15</f>
        <v/>
      </c>
      <c r="J15" s="10">
        <f>K15-H15</f>
        <v/>
      </c>
      <c r="K15" s="10" t="n">
        <v>480</v>
      </c>
      <c r="L15" s="11">
        <f>K15/$D$15</f>
        <v/>
      </c>
      <c r="M15" s="10">
        <f>N15-K15</f>
        <v/>
      </c>
      <c r="N15" s="10" t="n">
        <v>483</v>
      </c>
      <c r="O15" s="11">
        <f>N15/$D$15</f>
        <v/>
      </c>
      <c r="P15" s="10">
        <f>Q15-N15</f>
        <v/>
      </c>
      <c r="Q15" s="10" t="n">
        <v>484</v>
      </c>
      <c r="R15" s="11">
        <f>Q15/$D$15</f>
        <v/>
      </c>
      <c r="S15" s="12">
        <f>T15-Q15</f>
        <v/>
      </c>
      <c r="T15" s="12" t="n">
        <v>487</v>
      </c>
      <c r="U15" s="13">
        <f>T15/$D$15</f>
        <v/>
      </c>
      <c r="V15" s="8" t="inlineStr">
        <is>
          <t>Latest sales - Block CI: 487 units</t>
        </is>
      </c>
    </row>
    <row r="16">
      <c r="A16" s="7" t="n">
        <v>12</v>
      </c>
      <c r="B16" s="8" t="inlineStr">
        <is>
          <t>Taman Kinding Flora</t>
        </is>
      </c>
      <c r="C16" s="9" t="n">
        <v>43539</v>
      </c>
      <c r="D16" s="10" t="n">
        <v>754</v>
      </c>
      <c r="E16" s="7" t="inlineStr">
        <is>
          <t>19632-1,19632-2,19632-3,19632-4,19632-5,19632-6,19632-7,19632-8,19632-9,19632-10,19632-11,19632-12,19632-13</t>
        </is>
      </c>
      <c r="F16" s="8" t="inlineStr"/>
      <c r="G16" s="10" t="n"/>
      <c r="H16" s="10" t="n">
        <v>732</v>
      </c>
      <c r="I16" s="11">
        <f>H16/$D$16</f>
        <v/>
      </c>
      <c r="J16" s="10">
        <f>K16-H16</f>
        <v/>
      </c>
      <c r="K16" s="10" t="n">
        <v>732</v>
      </c>
      <c r="L16" s="11">
        <f>K16/$D$16</f>
        <v/>
      </c>
      <c r="M16" s="10">
        <f>N16-K16</f>
        <v/>
      </c>
      <c r="N16" s="10" t="n">
        <v>732</v>
      </c>
      <c r="O16" s="11">
        <f>N16/$D$16</f>
        <v/>
      </c>
      <c r="P16" s="10">
        <f>Q16-N16</f>
        <v/>
      </c>
      <c r="Q16" s="10" t="n">
        <v>732</v>
      </c>
      <c r="R16" s="11">
        <f>Q16/$D$16</f>
        <v/>
      </c>
      <c r="S16" s="12">
        <f>T16-Q16</f>
        <v/>
      </c>
      <c r="T16" s="12" t="n">
        <v>732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Alam Perdana Industrial Park</t>
        </is>
      </c>
      <c r="C17" s="9" t="n">
        <v>45079</v>
      </c>
      <c r="D17" s="10" t="n">
        <v>76</v>
      </c>
      <c r="E17" s="7" t="inlineStr">
        <is>
          <t>11482-10</t>
        </is>
      </c>
      <c r="F17" s="8" t="inlineStr"/>
      <c r="G17" s="10" t="n"/>
      <c r="H17" s="10" t="n">
        <v>34</v>
      </c>
      <c r="I17" s="11">
        <f>H17/$D$17</f>
        <v/>
      </c>
      <c r="J17" s="10">
        <f>K17-H17</f>
        <v/>
      </c>
      <c r="K17" s="10" t="n">
        <v>34</v>
      </c>
      <c r="L17" s="11">
        <f>K17/$D$17</f>
        <v/>
      </c>
      <c r="M17" s="10">
        <f>N17-K17</f>
        <v/>
      </c>
      <c r="N17" s="10" t="n">
        <v>34</v>
      </c>
      <c r="O17" s="11">
        <f>N17/$D$17</f>
        <v/>
      </c>
      <c r="P17" s="10">
        <f>Q17-N17</f>
        <v/>
      </c>
      <c r="Q17" s="10" t="n">
        <v>34</v>
      </c>
      <c r="R17" s="11">
        <f>Q17/$D$17</f>
        <v/>
      </c>
      <c r="S17" s="12">
        <f>T17-Q17</f>
        <v/>
      </c>
      <c r="T17" s="12" t="n">
        <v>34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Skyria - Block A</t>
        </is>
      </c>
      <c r="C18" s="9" t="n">
        <v>45399</v>
      </c>
      <c r="D18" s="10" t="n">
        <v>608</v>
      </c>
      <c r="E18" s="7" t="inlineStr">
        <is>
          <t>11482-12</t>
        </is>
      </c>
      <c r="F18" s="8" t="inlineStr"/>
      <c r="G18" s="10" t="n"/>
      <c r="H18" s="10" t="n">
        <v>312</v>
      </c>
      <c r="I18" s="11">
        <f>H18/$D$18</f>
        <v/>
      </c>
      <c r="J18" s="10">
        <f>K18-H18</f>
        <v/>
      </c>
      <c r="K18" s="10" t="n">
        <v>320</v>
      </c>
      <c r="L18" s="11">
        <f>K18/$D$18</f>
        <v/>
      </c>
      <c r="M18" s="10">
        <f>N18-K18</f>
        <v/>
      </c>
      <c r="N18" s="10" t="n">
        <v>324</v>
      </c>
      <c r="O18" s="11">
        <f>N18/$D$18</f>
        <v/>
      </c>
      <c r="P18" s="10">
        <f>Q18-N18</f>
        <v/>
      </c>
      <c r="Q18" s="10" t="n">
        <v>327</v>
      </c>
      <c r="R18" s="11">
        <f>Q18/$D$18</f>
        <v/>
      </c>
      <c r="S18" s="12">
        <f>T18-Q18</f>
        <v/>
      </c>
      <c r="T18" s="12" t="n">
        <v>332</v>
      </c>
      <c r="U18" s="13">
        <f>T18/$D$18</f>
        <v/>
      </c>
      <c r="V18" s="8" t="inlineStr">
        <is>
          <t>Latest sales - Block A: 332 units</t>
        </is>
      </c>
    </row>
    <row r="19">
      <c r="A19" s="7" t="n">
        <v>15</v>
      </c>
      <c r="B19" s="8" t="inlineStr">
        <is>
          <t>Alam Perdana Industrial Park</t>
        </is>
      </c>
      <c r="C19" s="9" t="n">
        <v>45139</v>
      </c>
      <c r="D19" s="10" t="n">
        <v>79</v>
      </c>
      <c r="E19" s="7" t="inlineStr">
        <is>
          <t>11482-11</t>
        </is>
      </c>
      <c r="F19" s="8" t="inlineStr"/>
      <c r="G19" s="10" t="n"/>
      <c r="H19" s="10" t="n">
        <v>0</v>
      </c>
      <c r="I19" s="11">
        <f>H19/$D$19</f>
        <v/>
      </c>
      <c r="J19" s="10">
        <f>K19-H19</f>
        <v/>
      </c>
      <c r="K19" s="10" t="n">
        <v>0</v>
      </c>
      <c r="L19" s="11">
        <f>K19/$D$19</f>
        <v/>
      </c>
      <c r="M19" s="10">
        <f>N19-K19</f>
        <v/>
      </c>
      <c r="N19" s="10" t="n">
        <v>0</v>
      </c>
      <c r="O19" s="11">
        <f>N19/$D$19</f>
        <v/>
      </c>
      <c r="P19" s="10">
        <f>Q19-N19</f>
        <v/>
      </c>
      <c r="Q19" s="10" t="n">
        <v>0</v>
      </c>
      <c r="R19" s="11">
        <f>Q19/$D$19</f>
        <v/>
      </c>
      <c r="S19" s="12">
        <f>T19-Q19</f>
        <v/>
      </c>
      <c r="T19" s="12" t="n">
        <v>0</v>
      </c>
      <c r="U19" s="13">
        <f>T19/$D$19</f>
        <v/>
      </c>
      <c r="V19" s="8" t="inlineStr"/>
    </row>
    <row r="20">
      <c r="A20" s="7" t="n">
        <v>16</v>
      </c>
      <c r="B20" s="8" t="inlineStr">
        <is>
          <t>Prestige Residence</t>
        </is>
      </c>
      <c r="C20" s="9" t="n">
        <v>44462</v>
      </c>
      <c r="D20" s="10" t="n">
        <v>725</v>
      </c>
      <c r="E20" s="7" t="inlineStr">
        <is>
          <t>20162-1</t>
        </is>
      </c>
      <c r="F20" s="8" t="inlineStr"/>
      <c r="G20" s="10" t="n"/>
      <c r="H20" s="10" t="n">
        <v>638</v>
      </c>
      <c r="I20" s="11">
        <f>H20/$D$20</f>
        <v/>
      </c>
      <c r="J20" s="10">
        <f>K20-H20</f>
        <v/>
      </c>
      <c r="K20" s="10" t="n">
        <v>638</v>
      </c>
      <c r="L20" s="11">
        <f>K20/$D$20</f>
        <v/>
      </c>
      <c r="M20" s="10">
        <f>N20-K20</f>
        <v/>
      </c>
      <c r="N20" s="10" t="n">
        <v>638</v>
      </c>
      <c r="O20" s="11">
        <f>N20/$D$20</f>
        <v/>
      </c>
      <c r="P20" s="10">
        <f>Q20-N20</f>
        <v/>
      </c>
      <c r="Q20" s="10" t="n">
        <v>638</v>
      </c>
      <c r="R20" s="11">
        <f>Q20/$D$20</f>
        <v/>
      </c>
      <c r="S20" s="12">
        <f>T20-Q20</f>
        <v/>
      </c>
      <c r="T20" s="12" t="n">
        <v>638</v>
      </c>
      <c r="U20" s="13">
        <f>T20/$D$20</f>
        <v/>
      </c>
      <c r="V20" s="8" t="inlineStr">
        <is>
          <t>Latest sales - Block A: 638 units</t>
        </is>
      </c>
    </row>
    <row r="21">
      <c r="A21" s="7" t="n">
        <v>17</v>
      </c>
      <c r="B21" s="8" t="inlineStr">
        <is>
          <t>Prestige Residence - Block B</t>
        </is>
      </c>
      <c r="C21" s="9" t="n">
        <v>44992</v>
      </c>
      <c r="D21" s="10" t="n">
        <v>725</v>
      </c>
      <c r="E21" s="7" t="inlineStr">
        <is>
          <t>20162-2</t>
        </is>
      </c>
      <c r="F21" s="8" t="inlineStr"/>
      <c r="G21" s="10" t="n"/>
      <c r="H21" s="10" t="n">
        <v>638</v>
      </c>
      <c r="I21" s="11">
        <f>H21/$D$21</f>
        <v/>
      </c>
      <c r="J21" s="10">
        <f>K21-H21</f>
        <v/>
      </c>
      <c r="K21" s="10" t="n">
        <v>638</v>
      </c>
      <c r="L21" s="11">
        <f>K21/$D$21</f>
        <v/>
      </c>
      <c r="M21" s="10">
        <f>N21-K21</f>
        <v/>
      </c>
      <c r="N21" s="10" t="n">
        <v>638</v>
      </c>
      <c r="O21" s="11">
        <f>N21/$D$21</f>
        <v/>
      </c>
      <c r="P21" s="10">
        <f>Q21-N21</f>
        <v/>
      </c>
      <c r="Q21" s="10" t="n">
        <v>638</v>
      </c>
      <c r="R21" s="11">
        <f>Q21/$D$21</f>
        <v/>
      </c>
      <c r="S21" s="12">
        <f>T21-Q21</f>
        <v/>
      </c>
      <c r="T21" s="12" t="n">
        <v>638</v>
      </c>
      <c r="U21" s="13">
        <f>T21/$D$21</f>
        <v/>
      </c>
      <c r="V21" s="8" t="inlineStr">
        <is>
          <t>Latest sales - Block B: 638 units</t>
        </is>
      </c>
    </row>
    <row r="22">
      <c r="A22" s="7" t="n">
        <v>18</v>
      </c>
      <c r="B22" s="8" t="inlineStr">
        <is>
          <t>Corallia @ D'Island</t>
        </is>
      </c>
      <c r="C22" s="9" t="n">
        <v>42196</v>
      </c>
      <c r="D22" s="10" t="n">
        <v>56</v>
      </c>
      <c r="E22" s="7" t="inlineStr">
        <is>
          <t>11482-8</t>
        </is>
      </c>
      <c r="F22" s="8" t="inlineStr"/>
      <c r="G22" s="10" t="n"/>
      <c r="H22" s="10" t="n">
        <v>52</v>
      </c>
      <c r="I22" s="11">
        <f>H22/$D$22</f>
        <v/>
      </c>
      <c r="J22" s="10">
        <f>K22-H22</f>
        <v/>
      </c>
      <c r="K22" s="10" t="n">
        <v>52</v>
      </c>
      <c r="L22" s="11">
        <f>K22/$D$22</f>
        <v/>
      </c>
      <c r="M22" s="10">
        <f>N22-K22</f>
        <v/>
      </c>
      <c r="N22" s="10" t="n">
        <v>52</v>
      </c>
      <c r="O22" s="11">
        <f>N22/$D$22</f>
        <v/>
      </c>
      <c r="P22" s="10">
        <f>Q22-N22</f>
        <v/>
      </c>
      <c r="Q22" s="10" t="n">
        <v>52</v>
      </c>
      <c r="R22" s="11">
        <f>Q22/$D$22</f>
        <v/>
      </c>
      <c r="S22" s="12">
        <f>T22-Q22</f>
        <v/>
      </c>
      <c r="T22" s="12" t="n">
        <v>52</v>
      </c>
      <c r="U22" s="13">
        <f>T22/$D$22</f>
        <v/>
      </c>
      <c r="V22" s="8" t="inlineStr"/>
    </row>
    <row r="23">
      <c r="A23" s="7" t="n">
        <v>19</v>
      </c>
      <c r="B23" s="8" t="inlineStr">
        <is>
          <t>SkyVilla @ D'Island</t>
        </is>
      </c>
      <c r="C23" s="9" t="n">
        <v>42152</v>
      </c>
      <c r="D23" s="10" t="n">
        <v>352</v>
      </c>
      <c r="E23" s="7" t="inlineStr">
        <is>
          <t>11482-7</t>
        </is>
      </c>
      <c r="F23" s="8" t="inlineStr"/>
      <c r="G23" s="10" t="n"/>
      <c r="H23" s="10" t="n">
        <v>314</v>
      </c>
      <c r="I23" s="11">
        <f>H23/$D$23</f>
        <v/>
      </c>
      <c r="J23" s="10">
        <f>K23-H23</f>
        <v/>
      </c>
      <c r="K23" s="10" t="n">
        <v>314</v>
      </c>
      <c r="L23" s="11">
        <f>K23/$D$23</f>
        <v/>
      </c>
      <c r="M23" s="10">
        <f>N23-K23</f>
        <v/>
      </c>
      <c r="N23" s="10" t="n">
        <v>314</v>
      </c>
      <c r="O23" s="11">
        <f>N23/$D$23</f>
        <v/>
      </c>
      <c r="P23" s="10">
        <f>Q23-N23</f>
        <v/>
      </c>
      <c r="Q23" s="10" t="n">
        <v>314</v>
      </c>
      <c r="R23" s="11">
        <f>Q23/$D$23</f>
        <v/>
      </c>
      <c r="S23" s="12">
        <f>T23-Q23</f>
        <v/>
      </c>
      <c r="T23" s="12" t="n">
        <v>314</v>
      </c>
      <c r="U23" s="13">
        <f>T23/$D$23</f>
        <v/>
      </c>
      <c r="V23" s="8" t="inlineStr">
        <is>
          <t>Latest sales - Block T1: 177 units, Block T2: 137 units</t>
        </is>
      </c>
    </row>
    <row r="24">
      <c r="A24" s="7" t="n">
        <v>20</v>
      </c>
      <c r="B24" s="8" t="inlineStr">
        <is>
          <t>Nautilus @ D'Island</t>
        </is>
      </c>
      <c r="C24" s="9" t="n">
        <v>40886</v>
      </c>
      <c r="D24" s="10" t="n">
        <v>115</v>
      </c>
      <c r="E24" s="7" t="inlineStr">
        <is>
          <t>11482-5</t>
        </is>
      </c>
      <c r="F24" s="8" t="inlineStr"/>
      <c r="G24" s="10" t="n"/>
      <c r="H24" s="10" t="n">
        <v>84</v>
      </c>
      <c r="I24" s="11">
        <f>H24/$D$24</f>
        <v/>
      </c>
      <c r="J24" s="10">
        <f>K24-H24</f>
        <v/>
      </c>
      <c r="K24" s="10" t="n">
        <v>84</v>
      </c>
      <c r="L24" s="11">
        <f>K24/$D$24</f>
        <v/>
      </c>
      <c r="M24" s="10">
        <f>N24-K24</f>
        <v/>
      </c>
      <c r="N24" s="10" t="n">
        <v>84</v>
      </c>
      <c r="O24" s="11">
        <f>N24/$D$24</f>
        <v/>
      </c>
      <c r="P24" s="10">
        <f>Q24-N24</f>
        <v/>
      </c>
      <c r="Q24" s="10" t="n">
        <v>84</v>
      </c>
      <c r="R24" s="11">
        <f>Q24/$D$24</f>
        <v/>
      </c>
      <c r="S24" s="12">
        <f>T24-Q24</f>
        <v/>
      </c>
      <c r="T24" s="12" t="n">
        <v>84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Skylake @ D'Island</t>
        </is>
      </c>
      <c r="C25" s="9" t="n">
        <v>42965</v>
      </c>
      <c r="D25" s="10" t="n">
        <v>746</v>
      </c>
      <c r="E25" s="7" t="inlineStr">
        <is>
          <t>11482-9</t>
        </is>
      </c>
      <c r="F25" s="8" t="inlineStr"/>
      <c r="G25" s="10" t="n"/>
      <c r="H25" s="10" t="n">
        <v>454</v>
      </c>
      <c r="I25" s="11">
        <f>H25/$D$25</f>
        <v/>
      </c>
      <c r="J25" s="10">
        <f>K25-H25</f>
        <v/>
      </c>
      <c r="K25" s="10" t="n">
        <v>454</v>
      </c>
      <c r="L25" s="11">
        <f>K25/$D$25</f>
        <v/>
      </c>
      <c r="M25" s="10">
        <f>N25-K25</f>
        <v/>
      </c>
      <c r="N25" s="10" t="n">
        <v>454</v>
      </c>
      <c r="O25" s="11">
        <f>N25/$D$25</f>
        <v/>
      </c>
      <c r="P25" s="10">
        <f>Q25-N25</f>
        <v/>
      </c>
      <c r="Q25" s="10" t="n">
        <v>454</v>
      </c>
      <c r="R25" s="11">
        <f>Q25/$D$25</f>
        <v/>
      </c>
      <c r="S25" s="12">
        <f>T25-Q25</f>
        <v/>
      </c>
      <c r="T25" s="12" t="n">
        <v>454</v>
      </c>
      <c r="U25" s="13">
        <f>T25/$D$25</f>
        <v/>
      </c>
      <c r="V25" s="8" t="inlineStr">
        <is>
          <t>Latest sales - Block A: 209 units, Block B: 245 units</t>
        </is>
      </c>
    </row>
    <row r="26">
      <c r="A26" s="7" t="n">
        <v>22</v>
      </c>
      <c r="B26" s="8" t="inlineStr">
        <is>
          <t>Ritma Perdana</t>
        </is>
      </c>
      <c r="C26" s="9" t="n">
        <v>44029</v>
      </c>
      <c r="D26" s="10" t="n">
        <v>1151</v>
      </c>
      <c r="E26" s="7" t="inlineStr">
        <is>
          <t>19183-11</t>
        </is>
      </c>
      <c r="F26" s="8" t="inlineStr"/>
      <c r="G26" s="10" t="n"/>
      <c r="H26" s="10" t="n">
        <v>446</v>
      </c>
      <c r="I26" s="11">
        <f>H26/$D$26</f>
        <v/>
      </c>
      <c r="J26" s="10">
        <f>K26-H26</f>
        <v/>
      </c>
      <c r="K26" s="10" t="n">
        <v>446</v>
      </c>
      <c r="L26" s="11">
        <f>K26/$D$26</f>
        <v/>
      </c>
      <c r="M26" s="10">
        <f>N26-K26</f>
        <v/>
      </c>
      <c r="N26" s="10" t="n">
        <v>446</v>
      </c>
      <c r="O26" s="11">
        <f>N26/$D$26</f>
        <v/>
      </c>
      <c r="P26" s="10">
        <f>Q26-N26</f>
        <v/>
      </c>
      <c r="Q26" s="10" t="n">
        <v>446</v>
      </c>
      <c r="R26" s="11">
        <f>Q26/$D$26</f>
        <v/>
      </c>
      <c r="S26" s="12">
        <f>T26-Q26</f>
        <v/>
      </c>
      <c r="T26" s="12" t="n">
        <v>446</v>
      </c>
      <c r="U26" s="13">
        <f>T26/$D$26</f>
        <v/>
      </c>
      <c r="V26" s="8" t="inlineStr"/>
    </row>
    <row r="27">
      <c r="A27" s="7" t="n">
        <v>23</v>
      </c>
      <c r="B27" s="8" t="inlineStr">
        <is>
          <t>Emerald Garden 3</t>
        </is>
      </c>
      <c r="C27" s="9" t="n">
        <v>44259</v>
      </c>
      <c r="D27" s="10" t="n">
        <v>155</v>
      </c>
      <c r="E27" s="7" t="inlineStr">
        <is>
          <t>7702-44,7702-45,7702-46,7702-47,7702-48</t>
        </is>
      </c>
      <c r="F27" s="8" t="inlineStr"/>
      <c r="G27" s="10" t="n"/>
      <c r="H27" s="10" t="n">
        <v>150</v>
      </c>
      <c r="I27" s="11">
        <f>H27/$D$27</f>
        <v/>
      </c>
      <c r="J27" s="10">
        <f>K27-H27</f>
        <v/>
      </c>
      <c r="K27" s="10" t="n">
        <v>150</v>
      </c>
      <c r="L27" s="11">
        <f>K27/$D$27</f>
        <v/>
      </c>
      <c r="M27" s="10">
        <f>N27-K27</f>
        <v/>
      </c>
      <c r="N27" s="10" t="n">
        <v>150</v>
      </c>
      <c r="O27" s="11">
        <f>N27/$D$27</f>
        <v/>
      </c>
      <c r="P27" s="10">
        <f>Q27-N27</f>
        <v/>
      </c>
      <c r="Q27" s="10" t="n">
        <v>150</v>
      </c>
      <c r="R27" s="11">
        <f>Q27/$D$27</f>
        <v/>
      </c>
      <c r="S27" s="12">
        <f>T27-Q27</f>
        <v/>
      </c>
      <c r="T27" s="12" t="n">
        <v>150</v>
      </c>
      <c r="U27" s="13">
        <f>T27/$D$27</f>
        <v/>
      </c>
      <c r="V27" s="8" t="inlineStr"/>
    </row>
    <row r="28">
      <c r="A28" s="7" t="n">
        <v>24</v>
      </c>
      <c r="B28" s="8" t="inlineStr">
        <is>
          <t>BSP21</t>
        </is>
      </c>
      <c r="C28" s="9" t="n">
        <v>41976</v>
      </c>
      <c r="D28" s="10" t="n">
        <v>2602</v>
      </c>
      <c r="E28" s="7" t="inlineStr">
        <is>
          <t>8945-4,8945-5,8945-6,8945-7</t>
        </is>
      </c>
      <c r="F28" s="8" t="inlineStr"/>
      <c r="G28" s="10" t="n"/>
      <c r="H28" s="10" t="n">
        <v>2149</v>
      </c>
      <c r="I28" s="11">
        <f>H28/$D$28</f>
        <v/>
      </c>
      <c r="J28" s="10">
        <f>K28-H28</f>
        <v/>
      </c>
      <c r="K28" s="10" t="n">
        <v>2149</v>
      </c>
      <c r="L28" s="11">
        <f>K28/$D$28</f>
        <v/>
      </c>
      <c r="M28" s="10">
        <f>N28-K28</f>
        <v/>
      </c>
      <c r="N28" s="10" t="n">
        <v>2149</v>
      </c>
      <c r="O28" s="11">
        <f>N28/$D$28</f>
        <v/>
      </c>
      <c r="P28" s="10">
        <f>Q28-N28</f>
        <v/>
      </c>
      <c r="Q28" s="10" t="n">
        <v>2149</v>
      </c>
      <c r="R28" s="11">
        <f>Q28/$D$28</f>
        <v/>
      </c>
      <c r="S28" s="12">
        <f>T28-Q28</f>
        <v/>
      </c>
      <c r="T28" s="12" t="n">
        <v>2149</v>
      </c>
      <c r="U28" s="13">
        <f>T28/$D$28</f>
        <v/>
      </c>
      <c r="V28" s="8" t="inlineStr">
        <is>
          <t>Latest sales - Block A: 211 units, Block B: 220 units, Block C: 264 units, Block D: 220 units, Block E: 215 units, Block F: 188 units, Block G: 253 units, Block H: 205 units, Block I: 214 units, Block J: 159 units</t>
        </is>
      </c>
    </row>
    <row r="29">
      <c r="A29" s="7" t="n">
        <v>25</v>
      </c>
      <c r="B29" s="8" t="inlineStr">
        <is>
          <t>BSP Skypark</t>
        </is>
      </c>
      <c r="C29" s="9" t="n">
        <v>41627</v>
      </c>
      <c r="D29" s="10" t="n">
        <v>689</v>
      </c>
      <c r="E29" s="7" t="inlineStr">
        <is>
          <t>8945-3</t>
        </is>
      </c>
      <c r="F29" s="8" t="inlineStr"/>
      <c r="G29" s="10" t="n"/>
      <c r="H29" s="10" t="n">
        <v>491</v>
      </c>
      <c r="I29" s="11">
        <f>H29/$D$29</f>
        <v/>
      </c>
      <c r="J29" s="10">
        <f>K29-H29</f>
        <v/>
      </c>
      <c r="K29" s="10" t="n">
        <v>491</v>
      </c>
      <c r="L29" s="11">
        <f>K29/$D$29</f>
        <v/>
      </c>
      <c r="M29" s="10">
        <f>N29-K29</f>
        <v/>
      </c>
      <c r="N29" s="10" t="n">
        <v>491</v>
      </c>
      <c r="O29" s="11">
        <f>N29/$D$29</f>
        <v/>
      </c>
      <c r="P29" s="10">
        <f>Q29-N29</f>
        <v/>
      </c>
      <c r="Q29" s="10" t="n">
        <v>491</v>
      </c>
      <c r="R29" s="11">
        <f>Q29/$D$29</f>
        <v/>
      </c>
      <c r="S29" s="12">
        <f>T29-Q29</f>
        <v/>
      </c>
      <c r="T29" s="12" t="n">
        <v>491</v>
      </c>
      <c r="U29" s="13">
        <f>T29/$D$29</f>
        <v/>
      </c>
      <c r="V29" s="8" t="inlineStr">
        <is>
          <t>Latest sales - Block P: 9 units, Block T1: 401 units, Block T2: 81 units</t>
        </is>
      </c>
    </row>
    <row r="30">
      <c r="A30" s="7" t="n">
        <v>26</v>
      </c>
      <c r="B30" s="8" t="inlineStr">
        <is>
          <t>Sherwood Residence</t>
        </is>
      </c>
      <c r="C30" s="9" t="n"/>
      <c r="D30" s="10" t="n">
        <v>0</v>
      </c>
      <c r="E30" s="7" t="inlineStr"/>
      <c r="F30" s="8" t="inlineStr"/>
      <c r="G30" s="10" t="n"/>
      <c r="H30" s="10" t="n"/>
      <c r="I30" s="11" t="n"/>
      <c r="J30" s="10" t="n"/>
      <c r="K30" s="10" t="n"/>
      <c r="L30" s="11" t="n"/>
      <c r="M30" s="10" t="n"/>
      <c r="N30" s="10" t="n"/>
      <c r="O30" s="11" t="n"/>
      <c r="P30" s="10" t="n"/>
      <c r="Q30" s="10" t="n"/>
      <c r="R30" s="11" t="n"/>
      <c r="S30" s="12" t="n"/>
      <c r="T30" s="12" t="n"/>
      <c r="U30" s="13" t="n"/>
      <c r="V30" s="8" t="inlineStr">
        <is>
          <t>Not launched yet.</t>
        </is>
      </c>
    </row>
    <row r="31">
      <c r="A31" s="7" t="n">
        <v>27</v>
      </c>
      <c r="B31" s="8" t="inlineStr">
        <is>
          <t>Amira Residences</t>
        </is>
      </c>
      <c r="C31" s="9" t="n"/>
      <c r="D31" s="10" t="n">
        <v>0</v>
      </c>
      <c r="E31" s="7" t="inlineStr"/>
      <c r="F31" s="8" t="inlineStr"/>
      <c r="G31" s="10" t="n"/>
      <c r="H31" s="10" t="n"/>
      <c r="I31" s="11" t="n"/>
      <c r="J31" s="10" t="n"/>
      <c r="K31" s="10" t="n"/>
      <c r="L31" s="11" t="n"/>
      <c r="M31" s="10" t="n"/>
      <c r="N31" s="10" t="n"/>
      <c r="O31" s="11" t="n"/>
      <c r="P31" s="10" t="n"/>
      <c r="Q31" s="10" t="n"/>
      <c r="R31" s="11" t="n"/>
      <c r="S31" s="12" t="n"/>
      <c r="T31" s="12" t="n"/>
      <c r="U31" s="13" t="n"/>
      <c r="V31" s="8" t="inlineStr">
        <is>
          <t>Not launched yet.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Y22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(MAH SING)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Allamanda 5 &amp; 6 @ Meridin East</t>
        </is>
      </c>
      <c r="C5" s="9" t="n">
        <v>45712</v>
      </c>
      <c r="D5" s="10" t="n">
        <v>235</v>
      </c>
      <c r="E5" s="7" t="inlineStr">
        <is>
          <t>14297-25,14297-28</t>
        </is>
      </c>
      <c r="F5" s="8" t="inlineStr">
        <is>
          <t>MERIDIN EAST SDN. BHD.</t>
        </is>
      </c>
      <c r="G5" s="10" t="n"/>
      <c r="H5" s="10" t="n">
        <v>158</v>
      </c>
      <c r="I5" s="11">
        <f>H5/$D$5</f>
        <v/>
      </c>
      <c r="J5" s="10">
        <f>K5-H5</f>
        <v/>
      </c>
      <c r="K5" s="10" t="n">
        <v>158</v>
      </c>
      <c r="L5" s="11">
        <f>K5/$D$5</f>
        <v/>
      </c>
      <c r="M5" s="10">
        <f>N5-K5</f>
        <v/>
      </c>
      <c r="N5" s="10" t="n">
        <v>158</v>
      </c>
      <c r="O5" s="11">
        <f>N5/$D$5</f>
        <v/>
      </c>
      <c r="P5" s="10">
        <f>Q5-N5</f>
        <v/>
      </c>
      <c r="Q5" s="10" t="n">
        <v>158</v>
      </c>
      <c r="R5" s="11">
        <f>Q5/$D$5</f>
        <v/>
      </c>
      <c r="S5" s="10">
        <f>T5-Q5</f>
        <v/>
      </c>
      <c r="T5" s="10" t="n">
        <v>158</v>
      </c>
      <c r="U5" s="11">
        <f>T5/$D$5</f>
        <v/>
      </c>
      <c r="V5" s="12">
        <f>W5-T5</f>
        <v/>
      </c>
      <c r="W5" s="12" t="n">
        <v>159</v>
      </c>
      <c r="X5" s="13">
        <f>W5/$D$5</f>
        <v/>
      </c>
      <c r="Y5" s="8" t="inlineStr"/>
    </row>
    <row r="6">
      <c r="A6" s="7" t="n">
        <v>2</v>
      </c>
      <c r="B6" s="8" t="inlineStr">
        <is>
          <t>Ferringhi Residence 2</t>
        </is>
      </c>
      <c r="C6" s="9" t="n">
        <v>41622</v>
      </c>
      <c r="D6" s="10" t="n">
        <v>678</v>
      </c>
      <c r="E6" s="7" t="inlineStr">
        <is>
          <t>12324-1,12324-2</t>
        </is>
      </c>
      <c r="F6" s="8" t="inlineStr">
        <is>
          <t>UPTREND HOUSING DEVELOPMENT SDN. BHD.</t>
        </is>
      </c>
      <c r="G6" s="10" t="n"/>
      <c r="H6" s="10" t="n">
        <v>377</v>
      </c>
      <c r="I6" s="11">
        <f>H6/$D$6</f>
        <v/>
      </c>
      <c r="J6" s="10">
        <f>K6-H6</f>
        <v/>
      </c>
      <c r="K6" s="10" t="n">
        <v>377</v>
      </c>
      <c r="L6" s="11">
        <f>K6/$D$6</f>
        <v/>
      </c>
      <c r="M6" s="10">
        <f>N6-K6</f>
        <v/>
      </c>
      <c r="N6" s="10" t="n">
        <v>377</v>
      </c>
      <c r="O6" s="11">
        <f>N6/$D$6</f>
        <v/>
      </c>
      <c r="P6" s="10">
        <f>Q6-N6</f>
        <v/>
      </c>
      <c r="Q6" s="10" t="n">
        <v>377</v>
      </c>
      <c r="R6" s="11">
        <f>Q6/$D$6</f>
        <v/>
      </c>
      <c r="S6" s="10">
        <f>T6-Q6</f>
        <v/>
      </c>
      <c r="T6" s="10" t="n">
        <v>377</v>
      </c>
      <c r="U6" s="11">
        <f>T6/$D$6</f>
        <v/>
      </c>
      <c r="V6" s="12">
        <f>W6-T6</f>
        <v/>
      </c>
      <c r="W6" s="12" t="n">
        <v>377</v>
      </c>
      <c r="X6" s="13">
        <f>W6/$D$6</f>
        <v/>
      </c>
      <c r="Y6" s="8" t="inlineStr">
        <is>
          <t>Latest sales - Ferringhi Residence 1: 172 units, Ferringhi Residence 2: 205 units</t>
        </is>
      </c>
    </row>
    <row r="7">
      <c r="A7" s="7" t="n">
        <v>3</v>
      </c>
      <c r="B7" s="8" t="inlineStr">
        <is>
          <t>Jasmine 2 @ Meridin East</t>
        </is>
      </c>
      <c r="C7" s="9" t="n">
        <v>45691</v>
      </c>
      <c r="D7" s="10" t="n">
        <v>168</v>
      </c>
      <c r="E7" s="7" t="inlineStr">
        <is>
          <t>14297-24</t>
        </is>
      </c>
      <c r="F7" s="8" t="inlineStr">
        <is>
          <t>MERIDIN EAST SDN. BHD.</t>
        </is>
      </c>
      <c r="G7" s="10" t="n"/>
      <c r="H7" s="10" t="n">
        <v>144</v>
      </c>
      <c r="I7" s="11">
        <f>H7/$D$7</f>
        <v/>
      </c>
      <c r="J7" s="10">
        <f>K7-H7</f>
        <v/>
      </c>
      <c r="K7" s="10" t="n">
        <v>144</v>
      </c>
      <c r="L7" s="11">
        <f>K7/$D$7</f>
        <v/>
      </c>
      <c r="M7" s="10">
        <f>N7-K7</f>
        <v/>
      </c>
      <c r="N7" s="10" t="n">
        <v>144</v>
      </c>
      <c r="O7" s="11">
        <f>N7/$D$7</f>
        <v/>
      </c>
      <c r="P7" s="10">
        <f>Q7-N7</f>
        <v/>
      </c>
      <c r="Q7" s="10" t="n">
        <v>144</v>
      </c>
      <c r="R7" s="11">
        <f>Q7/$D$7</f>
        <v/>
      </c>
      <c r="S7" s="10">
        <f>T7-Q7</f>
        <v/>
      </c>
      <c r="T7" s="10" t="n">
        <v>144</v>
      </c>
      <c r="U7" s="11">
        <f>T7/$D$7</f>
        <v/>
      </c>
      <c r="V7" s="12">
        <f>W7-T7</f>
        <v/>
      </c>
      <c r="W7" s="12" t="n">
        <v>144</v>
      </c>
      <c r="X7" s="13">
        <f>W7/$D$7</f>
        <v/>
      </c>
      <c r="Y7" s="8" t="inlineStr"/>
    </row>
    <row r="8">
      <c r="A8" s="7" t="n">
        <v>4</v>
      </c>
      <c r="B8" s="8" t="inlineStr">
        <is>
          <t>M Amaya</t>
        </is>
      </c>
      <c r="C8" s="9" t="n">
        <v>46161</v>
      </c>
      <c r="D8" s="10" t="n">
        <v>833</v>
      </c>
      <c r="E8" s="7" t="inlineStr">
        <is>
          <t>12029-4</t>
        </is>
      </c>
      <c r="F8" s="8" t="inlineStr">
        <is>
          <t>VIENNA VIEW DEVELOPMENT SDN. BHD.</t>
        </is>
      </c>
      <c r="G8" s="10" t="n"/>
      <c r="H8" s="10" t="n">
        <v>73</v>
      </c>
      <c r="I8" s="11">
        <f>H8/$D$8</f>
        <v/>
      </c>
      <c r="J8" s="10">
        <f>K8-H8</f>
        <v/>
      </c>
      <c r="K8" s="10" t="n">
        <v>79</v>
      </c>
      <c r="L8" s="11">
        <f>K8/$D$8</f>
        <v/>
      </c>
      <c r="M8" s="10">
        <f>N8-K8</f>
        <v/>
      </c>
      <c r="N8" s="10" t="n">
        <v>86</v>
      </c>
      <c r="O8" s="11">
        <f>N8/$D$8</f>
        <v/>
      </c>
      <c r="P8" s="10">
        <f>Q8-N8</f>
        <v/>
      </c>
      <c r="Q8" s="10" t="n">
        <v>96</v>
      </c>
      <c r="R8" s="11">
        <f>Q8/$D$8</f>
        <v/>
      </c>
      <c r="S8" s="10">
        <f>T8-Q8</f>
        <v/>
      </c>
      <c r="T8" s="10" t="n">
        <v>104</v>
      </c>
      <c r="U8" s="11">
        <f>T8/$D$8</f>
        <v/>
      </c>
      <c r="V8" s="12">
        <f>W8-T8</f>
        <v/>
      </c>
      <c r="W8" s="12" t="n">
        <v>115</v>
      </c>
      <c r="X8" s="13">
        <f>W8/$D$8</f>
        <v/>
      </c>
      <c r="Y8" s="8" t="inlineStr"/>
    </row>
    <row r="9">
      <c r="A9" s="7" t="n">
        <v>5</v>
      </c>
      <c r="B9" s="8" t="inlineStr">
        <is>
          <t>M Aria</t>
        </is>
      </c>
      <c r="C9" s="9" t="n">
        <v>46036</v>
      </c>
      <c r="D9" s="10" t="n">
        <v>606</v>
      </c>
      <c r="E9" s="7" t="inlineStr">
        <is>
          <t>31251-1</t>
        </is>
      </c>
      <c r="F9" s="8" t="inlineStr">
        <is>
          <t>M ARIA SDN. BHD.</t>
        </is>
      </c>
      <c r="G9" s="10" t="n"/>
      <c r="H9" s="10" t="n">
        <v>50</v>
      </c>
      <c r="I9" s="11">
        <f>H9/$D$9</f>
        <v/>
      </c>
      <c r="J9" s="10">
        <f>K9-H9</f>
        <v/>
      </c>
      <c r="K9" s="10" t="n">
        <v>53</v>
      </c>
      <c r="L9" s="11">
        <f>K9/$D$9</f>
        <v/>
      </c>
      <c r="M9" s="10">
        <f>N9-K9</f>
        <v/>
      </c>
      <c r="N9" s="10" t="n">
        <v>56</v>
      </c>
      <c r="O9" s="11">
        <f>N9/$D$9</f>
        <v/>
      </c>
      <c r="P9" s="10">
        <f>Q9-N9</f>
        <v/>
      </c>
      <c r="Q9" s="10" t="n">
        <v>68</v>
      </c>
      <c r="R9" s="11">
        <f>Q9/$D$9</f>
        <v/>
      </c>
      <c r="S9" s="10">
        <f>T9-Q9</f>
        <v/>
      </c>
      <c r="T9" s="10" t="n">
        <v>184</v>
      </c>
      <c r="U9" s="11">
        <f>T9/$D$9</f>
        <v/>
      </c>
      <c r="V9" s="12">
        <f>W9-T9</f>
        <v/>
      </c>
      <c r="W9" s="12" t="n">
        <v>206</v>
      </c>
      <c r="X9" s="13">
        <f>W9/$D$9</f>
        <v/>
      </c>
      <c r="Y9" s="8" t="inlineStr"/>
    </row>
    <row r="10">
      <c r="A10" s="7" t="n">
        <v>6</v>
      </c>
      <c r="B10" s="8" t="inlineStr">
        <is>
          <t>M Aspira</t>
        </is>
      </c>
      <c r="C10" s="9" t="n">
        <v>45531</v>
      </c>
      <c r="D10" s="10" t="n">
        <v>1618</v>
      </c>
      <c r="E10" s="7" t="inlineStr">
        <is>
          <t>5911-33</t>
        </is>
      </c>
      <c r="F10" s="8" t="inlineStr">
        <is>
          <t>MAH SING PROPERTIES SDN. BHD.</t>
        </is>
      </c>
      <c r="G10" s="10" t="n"/>
      <c r="H10" s="10" t="n">
        <v>1013</v>
      </c>
      <c r="I10" s="11">
        <f>H10/$D$10</f>
        <v/>
      </c>
      <c r="J10" s="10">
        <f>K10-H10</f>
        <v/>
      </c>
      <c r="K10" s="10" t="n">
        <v>1019</v>
      </c>
      <c r="L10" s="11">
        <f>K10/$D$10</f>
        <v/>
      </c>
      <c r="M10" s="10">
        <f>N10-K10</f>
        <v/>
      </c>
      <c r="N10" s="10" t="n">
        <v>1028</v>
      </c>
      <c r="O10" s="11">
        <f>N10/$D$10</f>
        <v/>
      </c>
      <c r="P10" s="10">
        <f>Q10-N10</f>
        <v/>
      </c>
      <c r="Q10" s="10" t="n">
        <v>1039</v>
      </c>
      <c r="R10" s="11">
        <f>Q10/$D$10</f>
        <v/>
      </c>
      <c r="S10" s="10">
        <f>T10-Q10</f>
        <v/>
      </c>
      <c r="T10" s="10" t="n">
        <v>1046</v>
      </c>
      <c r="U10" s="11">
        <f>T10/$D$10</f>
        <v/>
      </c>
      <c r="V10" s="12">
        <f>W10-T10</f>
        <v/>
      </c>
      <c r="W10" s="12" t="n">
        <v>1052</v>
      </c>
      <c r="X10" s="13">
        <f>W10/$D$10</f>
        <v/>
      </c>
      <c r="Y10" s="8" t="inlineStr">
        <is>
          <t>Latest sales - Block A: 472 units, Block B: 580 units</t>
        </is>
      </c>
    </row>
    <row r="11">
      <c r="A11" s="7" t="n">
        <v>7</v>
      </c>
      <c r="B11" s="8" t="inlineStr">
        <is>
          <t>M Aurora</t>
        </is>
      </c>
      <c r="C11" s="9" t="n">
        <v>46100</v>
      </c>
      <c r="D11" s="10" t="n">
        <v>1544</v>
      </c>
      <c r="E11" s="7" t="inlineStr">
        <is>
          <t>13262-2</t>
        </is>
      </c>
      <c r="F11" s="8" t="inlineStr">
        <is>
          <t>MAJOR LAND DEVELOPMENT SDN. BHD.</t>
        </is>
      </c>
      <c r="G11" s="10" t="n"/>
      <c r="H11" s="10" t="n">
        <v>365</v>
      </c>
      <c r="I11" s="11">
        <f>H11/$D$11</f>
        <v/>
      </c>
      <c r="J11" s="10">
        <f>K11-H11</f>
        <v/>
      </c>
      <c r="K11" s="10" t="n">
        <v>385</v>
      </c>
      <c r="L11" s="11">
        <f>K11/$D$11</f>
        <v/>
      </c>
      <c r="M11" s="10">
        <f>N11-K11</f>
        <v/>
      </c>
      <c r="N11" s="10" t="n">
        <v>392</v>
      </c>
      <c r="O11" s="11">
        <f>N11/$D$11</f>
        <v/>
      </c>
      <c r="P11" s="10">
        <f>Q11-N11</f>
        <v/>
      </c>
      <c r="Q11" s="10" t="n">
        <v>402</v>
      </c>
      <c r="R11" s="11">
        <f>Q11/$D$11</f>
        <v/>
      </c>
      <c r="S11" s="10">
        <f>T11-Q11</f>
        <v/>
      </c>
      <c r="T11" s="10" t="n">
        <v>416</v>
      </c>
      <c r="U11" s="11">
        <f>T11/$D$11</f>
        <v/>
      </c>
      <c r="V11" s="12">
        <f>W11-T11</f>
        <v/>
      </c>
      <c r="W11" s="12" t="n">
        <v>423</v>
      </c>
      <c r="X11" s="13">
        <f>W11/$D$11</f>
        <v/>
      </c>
      <c r="Y11" s="8" t="inlineStr">
        <is>
          <t>Latest sales - Block A: 83 units, Block B: 340 units</t>
        </is>
      </c>
    </row>
    <row r="12">
      <c r="A12" s="7" t="n">
        <v>8</v>
      </c>
      <c r="B12" s="8" t="inlineStr">
        <is>
          <t>M Azura</t>
        </is>
      </c>
      <c r="C12" s="9" t="n">
        <v>45531</v>
      </c>
      <c r="D12" s="10" t="n">
        <v>1140</v>
      </c>
      <c r="E12" s="7" t="inlineStr">
        <is>
          <t>30834-1</t>
        </is>
      </c>
      <c r="F12" s="8" t="inlineStr">
        <is>
          <t>M AZURA  SDN. BHD.</t>
        </is>
      </c>
      <c r="G12" s="10" t="n"/>
      <c r="H12" s="10" t="n">
        <v>796</v>
      </c>
      <c r="I12" s="11">
        <f>H12/$D$12</f>
        <v/>
      </c>
      <c r="J12" s="10">
        <f>K12-H12</f>
        <v/>
      </c>
      <c r="K12" s="10" t="n">
        <v>800</v>
      </c>
      <c r="L12" s="11">
        <f>K12/$D$12</f>
        <v/>
      </c>
      <c r="M12" s="10">
        <f>N12-K12</f>
        <v/>
      </c>
      <c r="N12" s="10" t="n">
        <v>805</v>
      </c>
      <c r="O12" s="11">
        <f>N12/$D$12</f>
        <v/>
      </c>
      <c r="P12" s="10">
        <f>Q12-N12</f>
        <v/>
      </c>
      <c r="Q12" s="10" t="n">
        <v>808</v>
      </c>
      <c r="R12" s="11">
        <f>Q12/$D$12</f>
        <v/>
      </c>
      <c r="S12" s="10">
        <f>T12-Q12</f>
        <v/>
      </c>
      <c r="T12" s="10" t="n">
        <v>809</v>
      </c>
      <c r="U12" s="11">
        <f>T12/$D$12</f>
        <v/>
      </c>
      <c r="V12" s="12">
        <f>W12-T12</f>
        <v/>
      </c>
      <c r="W12" s="12" t="n">
        <v>822</v>
      </c>
      <c r="X12" s="13">
        <f>W12/$D$12</f>
        <v/>
      </c>
      <c r="Y12" s="8" t="inlineStr">
        <is>
          <t>Latest sales - Block A: 437 units, Block B: 385 units</t>
        </is>
      </c>
    </row>
    <row r="13">
      <c r="A13" s="7" t="n">
        <v>9</v>
      </c>
      <c r="B13" s="8" t="inlineStr">
        <is>
          <t>M Legasi</t>
        </is>
      </c>
      <c r="C13" s="9" t="n">
        <v>45754</v>
      </c>
      <c r="D13" s="10" t="n">
        <v>817</v>
      </c>
      <c r="E13" s="7" t="inlineStr">
        <is>
          <t>30897-1,30897-2,30897-3</t>
        </is>
      </c>
      <c r="F13" s="8" t="inlineStr">
        <is>
          <t>MESTIKA BISTARI SDN. BHD.</t>
        </is>
      </c>
      <c r="G13" s="10" t="n"/>
      <c r="H13" s="10" t="n">
        <v>652</v>
      </c>
      <c r="I13" s="11">
        <f>H13/$D$13</f>
        <v/>
      </c>
      <c r="J13" s="10">
        <f>K13-H13</f>
        <v/>
      </c>
      <c r="K13" s="10" t="n">
        <v>656</v>
      </c>
      <c r="L13" s="11">
        <f>K13/$D$13</f>
        <v/>
      </c>
      <c r="M13" s="10">
        <f>N13-K13</f>
        <v/>
      </c>
      <c r="N13" s="10" t="n">
        <v>658</v>
      </c>
      <c r="O13" s="11">
        <f>N13/$D$13</f>
        <v/>
      </c>
      <c r="P13" s="10">
        <f>Q13-N13</f>
        <v/>
      </c>
      <c r="Q13" s="10" t="n">
        <v>665</v>
      </c>
      <c r="R13" s="11">
        <f>Q13/$D$13</f>
        <v/>
      </c>
      <c r="S13" s="10">
        <f>T13-Q13</f>
        <v/>
      </c>
      <c r="T13" s="10" t="n">
        <v>673</v>
      </c>
      <c r="U13" s="11">
        <f>T13/$D$13</f>
        <v/>
      </c>
      <c r="V13" s="12">
        <f>W13-T13</f>
        <v/>
      </c>
      <c r="W13" s="12" t="n">
        <v>680</v>
      </c>
      <c r="X13" s="13">
        <f>W13/$D$13</f>
        <v/>
      </c>
      <c r="Y13" s="8" t="inlineStr"/>
    </row>
    <row r="14">
      <c r="A14" s="7" t="n">
        <v>10</v>
      </c>
      <c r="B14" s="8" t="inlineStr">
        <is>
          <t>M Nova</t>
        </is>
      </c>
      <c r="C14" s="9" t="n">
        <v>45146</v>
      </c>
      <c r="D14" s="10" t="n">
        <v>2080</v>
      </c>
      <c r="E14" s="7" t="inlineStr">
        <is>
          <t>11202-4,11202-5</t>
        </is>
      </c>
      <c r="F14" s="8" t="inlineStr">
        <is>
          <t>MYVILLA DEVELOPMENT SDN. BHD.</t>
        </is>
      </c>
      <c r="G14" s="10" t="n"/>
      <c r="H14" s="10" t="n">
        <v>1873</v>
      </c>
      <c r="I14" s="11">
        <f>H14/$D$14</f>
        <v/>
      </c>
      <c r="J14" s="10">
        <f>K14-H14</f>
        <v/>
      </c>
      <c r="K14" s="10" t="n">
        <v>1877</v>
      </c>
      <c r="L14" s="11">
        <f>K14/$D$14</f>
        <v/>
      </c>
      <c r="M14" s="10">
        <f>N14-K14</f>
        <v/>
      </c>
      <c r="N14" s="10" t="n">
        <v>1878</v>
      </c>
      <c r="O14" s="11">
        <f>N14/$D$14</f>
        <v/>
      </c>
      <c r="P14" s="10">
        <f>Q14-N14</f>
        <v/>
      </c>
      <c r="Q14" s="10" t="n">
        <v>1879</v>
      </c>
      <c r="R14" s="11">
        <f>Q14/$D$14</f>
        <v/>
      </c>
      <c r="S14" s="10">
        <f>T14-Q14</f>
        <v/>
      </c>
      <c r="T14" s="10" t="n">
        <v>1880</v>
      </c>
      <c r="U14" s="11">
        <f>T14/$D$14</f>
        <v/>
      </c>
      <c r="V14" s="12">
        <f>W14-T14</f>
        <v/>
      </c>
      <c r="W14" s="12" t="n">
        <v>1885</v>
      </c>
      <c r="X14" s="13">
        <f>W14/$D$14</f>
        <v/>
      </c>
      <c r="Y14" s="8" t="inlineStr">
        <is>
          <t>Latest sales - Block A: 616 units, Block B: 612 units, Block C: 657 units</t>
        </is>
      </c>
    </row>
    <row r="15">
      <c r="A15" s="7" t="n">
        <v>11</v>
      </c>
      <c r="B15" s="8" t="inlineStr">
        <is>
          <t>M Panora</t>
        </is>
      </c>
      <c r="C15" s="9" t="n">
        <v>44810</v>
      </c>
      <c r="D15" s="10" t="n">
        <v>396</v>
      </c>
      <c r="E15" s="7" t="inlineStr">
        <is>
          <t>11998-4,11998-5</t>
        </is>
      </c>
      <c r="F15" s="8" t="inlineStr">
        <is>
          <t>SEMAI MERANTI SDN. BHD.</t>
        </is>
      </c>
      <c r="G15" s="10" t="n"/>
      <c r="H15" s="10" t="n">
        <v>396</v>
      </c>
      <c r="I15" s="11">
        <f>H15/$D$15</f>
        <v/>
      </c>
      <c r="J15" s="10">
        <f>K15-H15</f>
        <v/>
      </c>
      <c r="K15" s="10" t="n">
        <v>396</v>
      </c>
      <c r="L15" s="11">
        <f>K15/$D$15</f>
        <v/>
      </c>
      <c r="M15" s="10">
        <f>N15-K15</f>
        <v/>
      </c>
      <c r="N15" s="10" t="n">
        <v>396</v>
      </c>
      <c r="O15" s="11">
        <f>N15/$D$15</f>
        <v/>
      </c>
      <c r="P15" s="10">
        <f>Q15-N15</f>
        <v/>
      </c>
      <c r="Q15" s="10" t="n">
        <v>396</v>
      </c>
      <c r="R15" s="11">
        <f>Q15/$D$15</f>
        <v/>
      </c>
      <c r="S15" s="10">
        <f>T15-Q15</f>
        <v/>
      </c>
      <c r="T15" s="10" t="n">
        <v>396</v>
      </c>
      <c r="U15" s="11">
        <f>T15/$D$15</f>
        <v/>
      </c>
      <c r="V15" s="12">
        <f>W15-T15</f>
        <v/>
      </c>
      <c r="W15" s="12" t="n">
        <v>396</v>
      </c>
      <c r="X15" s="13">
        <f>W15/$D$15</f>
        <v/>
      </c>
      <c r="Y15" s="8" t="inlineStr"/>
    </row>
    <row r="16">
      <c r="A16" s="7" t="n">
        <v>12</v>
      </c>
      <c r="B16" s="8" t="inlineStr">
        <is>
          <t>M Sinar @ Southville City</t>
        </is>
      </c>
      <c r="C16" s="9" t="n">
        <v>45443</v>
      </c>
      <c r="D16" s="10" t="n">
        <v>999</v>
      </c>
      <c r="E16" s="7" t="inlineStr">
        <is>
          <t>13425-8,13425-9</t>
        </is>
      </c>
      <c r="F16" s="8" t="inlineStr">
        <is>
          <t>SOUTHVILLE CITY SDN. BHD.</t>
        </is>
      </c>
      <c r="G16" s="10" t="n"/>
      <c r="H16" s="10" t="n">
        <v>394</v>
      </c>
      <c r="I16" s="11">
        <f>H16/$D$16</f>
        <v/>
      </c>
      <c r="J16" s="10">
        <f>K16-H16</f>
        <v/>
      </c>
      <c r="K16" s="10" t="n">
        <v>395</v>
      </c>
      <c r="L16" s="11">
        <f>K16/$D$16</f>
        <v/>
      </c>
      <c r="M16" s="10">
        <f>N16-K16</f>
        <v/>
      </c>
      <c r="N16" s="10" t="n">
        <v>395</v>
      </c>
      <c r="O16" s="11">
        <f>N16/$D$16</f>
        <v/>
      </c>
      <c r="P16" s="10">
        <f>Q16-N16</f>
        <v/>
      </c>
      <c r="Q16" s="10" t="n">
        <v>397</v>
      </c>
      <c r="R16" s="11">
        <f>Q16/$D$16</f>
        <v/>
      </c>
      <c r="S16" s="10">
        <f>T16-Q16</f>
        <v/>
      </c>
      <c r="T16" s="10" t="n">
        <v>397</v>
      </c>
      <c r="U16" s="11">
        <f>T16/$D$16</f>
        <v/>
      </c>
      <c r="V16" s="12">
        <f>W16-T16</f>
        <v/>
      </c>
      <c r="W16" s="12" t="n">
        <v>397</v>
      </c>
      <c r="X16" s="13">
        <f>W16/$D$16</f>
        <v/>
      </c>
      <c r="Y16" s="8" t="inlineStr">
        <is>
          <t>Latest sales - Block A: 397 units</t>
        </is>
      </c>
    </row>
    <row r="17">
      <c r="A17" s="7" t="n">
        <v>13</v>
      </c>
      <c r="B17" s="8" t="inlineStr">
        <is>
          <t>M Terra</t>
        </is>
      </c>
      <c r="C17" s="9" t="n">
        <v>45498</v>
      </c>
      <c r="D17" s="10" t="n">
        <v>999</v>
      </c>
      <c r="E17" s="7" t="inlineStr">
        <is>
          <t>30805-1</t>
        </is>
      </c>
      <c r="F17" s="8" t="inlineStr">
        <is>
          <t>SUPREME SPRINGS SDN. BHD.</t>
        </is>
      </c>
      <c r="G17" s="10" t="n"/>
      <c r="H17" s="10" t="n">
        <v>581</v>
      </c>
      <c r="I17" s="11">
        <f>H17/$D$17</f>
        <v/>
      </c>
      <c r="J17" s="10">
        <f>K17-H17</f>
        <v/>
      </c>
      <c r="K17" s="10" t="n">
        <v>587</v>
      </c>
      <c r="L17" s="11">
        <f>K17/$D$17</f>
        <v/>
      </c>
      <c r="M17" s="10">
        <f>N17-K17</f>
        <v/>
      </c>
      <c r="N17" s="10" t="n">
        <v>587</v>
      </c>
      <c r="O17" s="11">
        <f>N17/$D$17</f>
        <v/>
      </c>
      <c r="P17" s="10">
        <f>Q17-N17</f>
        <v/>
      </c>
      <c r="Q17" s="10" t="n">
        <v>592</v>
      </c>
      <c r="R17" s="11">
        <f>Q17/$D$17</f>
        <v/>
      </c>
      <c r="S17" s="10">
        <f>T17-Q17</f>
        <v/>
      </c>
      <c r="T17" s="10" t="n">
        <v>593</v>
      </c>
      <c r="U17" s="11">
        <f>T17/$D$17</f>
        <v/>
      </c>
      <c r="V17" s="12">
        <f>W17-T17</f>
        <v/>
      </c>
      <c r="W17" s="12" t="n">
        <v>599</v>
      </c>
      <c r="X17" s="13">
        <f>W17/$D$17</f>
        <v/>
      </c>
      <c r="Y17" s="8" t="inlineStr"/>
    </row>
    <row r="18">
      <c r="A18" s="7" t="n">
        <v>14</v>
      </c>
      <c r="B18" s="8" t="inlineStr">
        <is>
          <t>M Tiara</t>
        </is>
      </c>
      <c r="C18" s="9" t="n">
        <v>45523</v>
      </c>
      <c r="D18" s="10" t="n">
        <v>754</v>
      </c>
      <c r="E18" s="7" t="inlineStr">
        <is>
          <t>10279-5,10279-6,10279-7,10279-8</t>
        </is>
      </c>
      <c r="F18" s="8" t="inlineStr">
        <is>
          <t>VENICE VIEW DEVELOPMENT SDN. BHD.</t>
        </is>
      </c>
      <c r="G18" s="10" t="n"/>
      <c r="H18" s="10" t="n">
        <v>652</v>
      </c>
      <c r="I18" s="11">
        <f>H18/$D$18</f>
        <v/>
      </c>
      <c r="J18" s="10">
        <f>K18-H18</f>
        <v/>
      </c>
      <c r="K18" s="10" t="n">
        <v>652</v>
      </c>
      <c r="L18" s="11">
        <f>K18/$D$18</f>
        <v/>
      </c>
      <c r="M18" s="10">
        <f>N18-K18</f>
        <v/>
      </c>
      <c r="N18" s="10" t="n">
        <v>653</v>
      </c>
      <c r="O18" s="11">
        <f>N18/$D$18</f>
        <v/>
      </c>
      <c r="P18" s="10">
        <f>Q18-N18</f>
        <v/>
      </c>
      <c r="Q18" s="10" t="n">
        <v>659</v>
      </c>
      <c r="R18" s="11">
        <f>Q18/$D$18</f>
        <v/>
      </c>
      <c r="S18" s="10">
        <f>T18-Q18</f>
        <v/>
      </c>
      <c r="T18" s="10" t="n">
        <v>660</v>
      </c>
      <c r="U18" s="11">
        <f>T18/$D$18</f>
        <v/>
      </c>
      <c r="V18" s="12">
        <f>W18-T18</f>
        <v/>
      </c>
      <c r="W18" s="12" t="n">
        <v>663</v>
      </c>
      <c r="X18" s="13">
        <f>W18/$D$18</f>
        <v/>
      </c>
      <c r="Y18" s="8" t="inlineStr"/>
    </row>
    <row r="19">
      <c r="A19" s="7" t="n">
        <v>15</v>
      </c>
      <c r="B19" s="8" t="inlineStr">
        <is>
          <t>M Zenni</t>
        </is>
      </c>
      <c r="C19" s="9" t="n">
        <v>45923</v>
      </c>
      <c r="D19" s="10" t="n">
        <v>494</v>
      </c>
      <c r="E19" s="7" t="inlineStr">
        <is>
          <t>12029-3</t>
        </is>
      </c>
      <c r="F19" s="8" t="inlineStr">
        <is>
          <t>VIENNA VIEW DEVELOPMENT SDN. BHD.</t>
        </is>
      </c>
      <c r="G19" s="10" t="n"/>
      <c r="H19" s="10" t="n">
        <v>232</v>
      </c>
      <c r="I19" s="11">
        <f>H19/$D$19</f>
        <v/>
      </c>
      <c r="J19" s="10">
        <f>K19-H19</f>
        <v/>
      </c>
      <c r="K19" s="10" t="n">
        <v>233</v>
      </c>
      <c r="L19" s="11">
        <f>K19/$D$19</f>
        <v/>
      </c>
      <c r="M19" s="10">
        <f>N19-K19</f>
        <v/>
      </c>
      <c r="N19" s="10" t="n">
        <v>236</v>
      </c>
      <c r="O19" s="11">
        <f>N19/$D$19</f>
        <v/>
      </c>
      <c r="P19" s="10">
        <f>Q19-N19</f>
        <v/>
      </c>
      <c r="Q19" s="10" t="n">
        <v>238</v>
      </c>
      <c r="R19" s="11">
        <f>Q19/$D$19</f>
        <v/>
      </c>
      <c r="S19" s="10">
        <f>T19-Q19</f>
        <v/>
      </c>
      <c r="T19" s="10" t="n">
        <v>241</v>
      </c>
      <c r="U19" s="11">
        <f>T19/$D$19</f>
        <v/>
      </c>
      <c r="V19" s="12">
        <f>W19-T19</f>
        <v/>
      </c>
      <c r="W19" s="12" t="n">
        <v>241</v>
      </c>
      <c r="X19" s="13">
        <f>W19/$D$19</f>
        <v/>
      </c>
      <c r="Y19" s="8" t="inlineStr"/>
    </row>
    <row r="20">
      <c r="A20" s="7" t="n">
        <v>16</v>
      </c>
      <c r="B20" s="8" t="inlineStr">
        <is>
          <t>M Zenya</t>
        </is>
      </c>
      <c r="C20" s="9" t="n">
        <v>45383</v>
      </c>
      <c r="D20" s="10" t="n">
        <v>619</v>
      </c>
      <c r="E20" s="7" t="inlineStr">
        <is>
          <t>11430-2</t>
        </is>
      </c>
      <c r="F20" s="8" t="inlineStr">
        <is>
          <t>M ZENYA  SDN. BHD.</t>
        </is>
      </c>
      <c r="G20" s="10" t="n"/>
      <c r="H20" s="10" t="n">
        <v>618</v>
      </c>
      <c r="I20" s="11">
        <f>H20/$D$20</f>
        <v/>
      </c>
      <c r="J20" s="10">
        <f>K20-H20</f>
        <v/>
      </c>
      <c r="K20" s="10" t="n">
        <v>618</v>
      </c>
      <c r="L20" s="11">
        <f>K20/$D$20</f>
        <v/>
      </c>
      <c r="M20" s="10">
        <f>N20-K20</f>
        <v/>
      </c>
      <c r="N20" s="10" t="n">
        <v>618</v>
      </c>
      <c r="O20" s="11">
        <f>N20/$D$20</f>
        <v/>
      </c>
      <c r="P20" s="10">
        <f>Q20-N20</f>
        <v/>
      </c>
      <c r="Q20" s="10" t="n">
        <v>618</v>
      </c>
      <c r="R20" s="11">
        <f>Q20/$D$20</f>
        <v/>
      </c>
      <c r="S20" s="10">
        <f>T20-Q20</f>
        <v/>
      </c>
      <c r="T20" s="10" t="n">
        <v>619</v>
      </c>
      <c r="U20" s="11">
        <f>T20/$D$20</f>
        <v/>
      </c>
      <c r="V20" s="12">
        <f>W20-T20</f>
        <v/>
      </c>
      <c r="W20" s="12" t="n">
        <v>619</v>
      </c>
      <c r="X20" s="13">
        <f>W20/$D$20</f>
        <v/>
      </c>
      <c r="Y20" s="8" t="inlineStr">
        <is>
          <t>Latest sales - Block A: 619 units</t>
        </is>
      </c>
    </row>
    <row r="21">
      <c r="A21" s="7" t="n">
        <v>17</v>
      </c>
      <c r="B21" s="8" t="inlineStr">
        <is>
          <t>M Grand Minori</t>
        </is>
      </c>
      <c r="C21" s="9" t="n">
        <v>45898</v>
      </c>
      <c r="D21" s="10" t="n">
        <v>1733</v>
      </c>
      <c r="E21" s="7" t="inlineStr">
        <is>
          <t>9600-6,9600-7</t>
        </is>
      </c>
      <c r="F21" s="8" t="inlineStr"/>
      <c r="G21" s="10" t="n"/>
      <c r="H21" s="10" t="n">
        <v>762</v>
      </c>
      <c r="I21" s="11">
        <f>H21/$D$21</f>
        <v/>
      </c>
      <c r="J21" s="10">
        <f>K21-H21</f>
        <v/>
      </c>
      <c r="K21" s="10" t="n">
        <v>773</v>
      </c>
      <c r="L21" s="11">
        <f>K21/$D$21</f>
        <v/>
      </c>
      <c r="M21" s="10">
        <f>N21-K21</f>
        <v/>
      </c>
      <c r="N21" s="10" t="n">
        <v>785</v>
      </c>
      <c r="O21" s="11">
        <f>N21/$D$21</f>
        <v/>
      </c>
      <c r="P21" s="10">
        <f>Q21-N21</f>
        <v/>
      </c>
      <c r="Q21" s="10" t="n">
        <v>797</v>
      </c>
      <c r="R21" s="11">
        <f>Q21/$D$21</f>
        <v/>
      </c>
      <c r="S21" s="10">
        <f>T21-Q21</f>
        <v/>
      </c>
      <c r="T21" s="10" t="n">
        <v>813</v>
      </c>
      <c r="U21" s="11">
        <f>T21/$D$21</f>
        <v/>
      </c>
      <c r="V21" s="12">
        <f>W21-T21</f>
        <v/>
      </c>
      <c r="W21" s="12" t="n">
        <v>831</v>
      </c>
      <c r="X21" s="13">
        <f>W21/$D$21</f>
        <v/>
      </c>
      <c r="Y21" s="8" t="inlineStr">
        <is>
          <t>Latest sales - Block A: 533 units, Block B: 298 units</t>
        </is>
      </c>
    </row>
    <row r="22">
      <c r="A22" s="7" t="n">
        <v>18</v>
      </c>
      <c r="B22" s="8" t="inlineStr">
        <is>
          <t>M Minori</t>
        </is>
      </c>
      <c r="C22" s="9" t="n">
        <v>45201</v>
      </c>
      <c r="D22" s="10" t="n">
        <v>1526</v>
      </c>
      <c r="E22" s="7" t="inlineStr">
        <is>
          <t>30440-1,30440-2,30440-3</t>
        </is>
      </c>
      <c r="F22" s="8" t="inlineStr"/>
      <c r="G22" s="10" t="n"/>
      <c r="H22" s="10" t="n">
        <v>1474</v>
      </c>
      <c r="I22" s="11">
        <f>H22/$D$22</f>
        <v/>
      </c>
      <c r="J22" s="10">
        <f>K22-H22</f>
        <v/>
      </c>
      <c r="K22" s="10" t="n">
        <v>1477</v>
      </c>
      <c r="L22" s="11">
        <f>K22/$D$22</f>
        <v/>
      </c>
      <c r="M22" s="10">
        <f>N22-K22</f>
        <v/>
      </c>
      <c r="N22" s="10" t="n">
        <v>1479</v>
      </c>
      <c r="O22" s="11">
        <f>N22/$D$22</f>
        <v/>
      </c>
      <c r="P22" s="10">
        <f>Q22-N22</f>
        <v/>
      </c>
      <c r="Q22" s="10" t="n">
        <v>1482</v>
      </c>
      <c r="R22" s="11">
        <f>Q22/$D$22</f>
        <v/>
      </c>
      <c r="S22" s="10">
        <f>T22-Q22</f>
        <v/>
      </c>
      <c r="T22" s="10" t="n">
        <v>1482</v>
      </c>
      <c r="U22" s="11">
        <f>T22/$D$22</f>
        <v/>
      </c>
      <c r="V22" s="12">
        <f>W22-T22</f>
        <v/>
      </c>
      <c r="W22" s="12" t="n">
        <v>1485</v>
      </c>
      <c r="X22" s="13">
        <f>W22/$D$22</f>
        <v/>
      </c>
      <c r="Y22" s="8" t="inlineStr">
        <is>
          <t>Latest sales - Block A: 417 units, Block B: 586 units, Block C: 482 units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Y1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(MAJESTIC GEN)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Gen Rise</t>
        </is>
      </c>
      <c r="C5" s="9" t="n">
        <v>45631</v>
      </c>
      <c r="D5" s="10" t="n">
        <v>732</v>
      </c>
      <c r="E5" s="7" t="inlineStr">
        <is>
          <t>30828-2</t>
        </is>
      </c>
      <c r="F5" s="8" t="inlineStr">
        <is>
          <t>MAJESTIC GEN  SDN. BHD.</t>
        </is>
      </c>
      <c r="G5" s="10" t="n"/>
      <c r="H5" s="10" t="n">
        <v>731</v>
      </c>
      <c r="I5" s="11">
        <f>H5/$D$5</f>
        <v/>
      </c>
      <c r="J5" s="10">
        <f>K5-H5</f>
        <v/>
      </c>
      <c r="K5" s="10" t="n">
        <v>731</v>
      </c>
      <c r="L5" s="11">
        <f>K5/$D$5</f>
        <v/>
      </c>
      <c r="M5" s="10">
        <f>N5-K5</f>
        <v/>
      </c>
      <c r="N5" s="10" t="n">
        <v>731</v>
      </c>
      <c r="O5" s="11">
        <f>N5/$D$5</f>
        <v/>
      </c>
      <c r="P5" s="10">
        <f>Q5-N5</f>
        <v/>
      </c>
      <c r="Q5" s="10" t="n">
        <v>731</v>
      </c>
      <c r="R5" s="11">
        <f>Q5/$D$5</f>
        <v/>
      </c>
      <c r="S5" s="10">
        <f>T5-Q5</f>
        <v/>
      </c>
      <c r="T5" s="10" t="n">
        <v>730</v>
      </c>
      <c r="U5" s="11">
        <f>T5/$D$5</f>
        <v/>
      </c>
      <c r="V5" s="12">
        <f>W5-T5</f>
        <v/>
      </c>
      <c r="W5" s="12" t="n">
        <v>730</v>
      </c>
      <c r="X5" s="13">
        <f>W5/$D$5</f>
        <v/>
      </c>
      <c r="Y5" s="8" t="inlineStr"/>
    </row>
    <row r="6">
      <c r="A6" s="7" t="n">
        <v>2</v>
      </c>
      <c r="B6" s="8" t="inlineStr">
        <is>
          <t>Gen Sphere</t>
        </is>
      </c>
      <c r="C6" s="9" t="n">
        <v>45804</v>
      </c>
      <c r="D6" s="10" t="n">
        <v>996</v>
      </c>
      <c r="E6" s="7" t="inlineStr">
        <is>
          <t>30828-3</t>
        </is>
      </c>
      <c r="F6" s="8" t="inlineStr">
        <is>
          <t>MAJESTIC GEN  SDN. BHD.</t>
        </is>
      </c>
      <c r="G6" s="10" t="n"/>
      <c r="H6" s="10" t="n">
        <v>908</v>
      </c>
      <c r="I6" s="11">
        <f>H6/$D$6</f>
        <v/>
      </c>
      <c r="J6" s="10">
        <f>K6-H6</f>
        <v/>
      </c>
      <c r="K6" s="10" t="n">
        <v>915</v>
      </c>
      <c r="L6" s="11">
        <f>K6/$D$6</f>
        <v/>
      </c>
      <c r="M6" s="10">
        <f>N6-K6</f>
        <v/>
      </c>
      <c r="N6" s="10" t="n">
        <v>916</v>
      </c>
      <c r="O6" s="11">
        <f>N6/$D$6</f>
        <v/>
      </c>
      <c r="P6" s="10">
        <f>Q6-N6</f>
        <v/>
      </c>
      <c r="Q6" s="10" t="n">
        <v>917</v>
      </c>
      <c r="R6" s="11">
        <f>Q6/$D$6</f>
        <v/>
      </c>
      <c r="S6" s="10">
        <f>T6-Q6</f>
        <v/>
      </c>
      <c r="T6" s="10" t="n">
        <v>922</v>
      </c>
      <c r="U6" s="11">
        <f>T6/$D$6</f>
        <v/>
      </c>
      <c r="V6" s="12">
        <f>W6-T6</f>
        <v/>
      </c>
      <c r="W6" s="12" t="n">
        <v>924</v>
      </c>
      <c r="X6" s="13">
        <f>W6/$D$6</f>
        <v/>
      </c>
      <c r="Y6" s="8" t="inlineStr">
        <is>
          <t>-</t>
        </is>
      </c>
    </row>
    <row r="7">
      <c r="A7" s="7" t="n">
        <v>3</v>
      </c>
      <c r="B7" s="8" t="inlineStr">
        <is>
          <t>Gen Starz</t>
        </is>
      </c>
      <c r="C7" s="9" t="n">
        <v>45569</v>
      </c>
      <c r="D7" s="10" t="n">
        <v>360</v>
      </c>
      <c r="E7" s="7" t="inlineStr">
        <is>
          <t>30828-1</t>
        </is>
      </c>
      <c r="F7" s="8" t="inlineStr">
        <is>
          <t>MAJESTIC GEN  SDN. BHD.</t>
        </is>
      </c>
      <c r="G7" s="10" t="n"/>
      <c r="H7" s="10" t="n">
        <v>355</v>
      </c>
      <c r="I7" s="11">
        <f>H7/$D$7</f>
        <v/>
      </c>
      <c r="J7" s="10">
        <f>K7-H7</f>
        <v/>
      </c>
      <c r="K7" s="10" t="n">
        <v>355</v>
      </c>
      <c r="L7" s="11">
        <f>K7/$D$7</f>
        <v/>
      </c>
      <c r="M7" s="10">
        <f>N7-K7</f>
        <v/>
      </c>
      <c r="N7" s="10" t="n">
        <v>355</v>
      </c>
      <c r="O7" s="11">
        <f>N7/$D$7</f>
        <v/>
      </c>
      <c r="P7" s="10">
        <f>Q7-N7</f>
        <v/>
      </c>
      <c r="Q7" s="10" t="n">
        <v>355</v>
      </c>
      <c r="R7" s="11">
        <f>Q7/$D$7</f>
        <v/>
      </c>
      <c r="S7" s="10">
        <f>T7-Q7</f>
        <v/>
      </c>
      <c r="T7" s="10" t="n">
        <v>355</v>
      </c>
      <c r="U7" s="11">
        <f>T7/$D$7</f>
        <v/>
      </c>
      <c r="V7" s="12">
        <f>W7-T7</f>
        <v/>
      </c>
      <c r="W7" s="12" t="n">
        <v>355</v>
      </c>
      <c r="X7" s="13">
        <f>W7/$D$7</f>
        <v/>
      </c>
      <c r="Y7" s="8" t="inlineStr"/>
    </row>
    <row r="8">
      <c r="A8" s="7" t="n">
        <v>4</v>
      </c>
      <c r="B8" s="8" t="inlineStr">
        <is>
          <t>Majestic Residence</t>
        </is>
      </c>
      <c r="C8" s="9" t="n">
        <v>44995</v>
      </c>
      <c r="D8" s="10" t="n">
        <v>478</v>
      </c>
      <c r="E8" s="7" t="inlineStr">
        <is>
          <t>30244-1</t>
        </is>
      </c>
      <c r="F8" s="8" t="inlineStr">
        <is>
          <t>MAJESTIC LUXE SDN. BHD.</t>
        </is>
      </c>
      <c r="G8" s="10" t="n"/>
      <c r="H8" s="10" t="n">
        <v>478</v>
      </c>
      <c r="I8" s="11">
        <f>H8/$D$8</f>
        <v/>
      </c>
      <c r="J8" s="10">
        <f>K8-H8</f>
        <v/>
      </c>
      <c r="K8" s="10" t="n">
        <v>478</v>
      </c>
      <c r="L8" s="11">
        <f>K8/$D$8</f>
        <v/>
      </c>
      <c r="M8" s="10">
        <f>N8-K8</f>
        <v/>
      </c>
      <c r="N8" s="10" t="n">
        <v>478</v>
      </c>
      <c r="O8" s="11">
        <f>N8/$D$8</f>
        <v/>
      </c>
      <c r="P8" s="10">
        <f>Q8-N8</f>
        <v/>
      </c>
      <c r="Q8" s="10" t="n">
        <v>478</v>
      </c>
      <c r="R8" s="11">
        <f>Q8/$D$8</f>
        <v/>
      </c>
      <c r="S8" s="10">
        <f>T8-Q8</f>
        <v/>
      </c>
      <c r="T8" s="10" t="n">
        <v>478</v>
      </c>
      <c r="U8" s="11">
        <f>T8/$D$8</f>
        <v/>
      </c>
      <c r="V8" s="12">
        <f>W8-T8</f>
        <v/>
      </c>
      <c r="W8" s="12" t="n">
        <v>478</v>
      </c>
      <c r="X8" s="13">
        <f>W8/$D$8</f>
        <v/>
      </c>
      <c r="Y8" s="8" t="inlineStr"/>
    </row>
    <row r="9">
      <c r="A9" s="7" t="n">
        <v>5</v>
      </c>
      <c r="B9" s="8" t="inlineStr">
        <is>
          <t>Majestic Yu</t>
        </is>
      </c>
      <c r="C9" s="9" t="n">
        <v>45831</v>
      </c>
      <c r="D9" s="10" t="n">
        <v>106</v>
      </c>
      <c r="E9" s="7" t="inlineStr">
        <is>
          <t>30990-1</t>
        </is>
      </c>
      <c r="F9" s="8" t="inlineStr">
        <is>
          <t>MAJESTIC GEN (SOUTHERN) SDN. BHD.</t>
        </is>
      </c>
      <c r="G9" s="10" t="n"/>
      <c r="H9" s="10" t="n">
        <v>98</v>
      </c>
      <c r="I9" s="11">
        <f>H9/$D$9</f>
        <v/>
      </c>
      <c r="J9" s="10">
        <f>K9-H9</f>
        <v/>
      </c>
      <c r="K9" s="10" t="n">
        <v>99</v>
      </c>
      <c r="L9" s="11">
        <f>K9/$D$9</f>
        <v/>
      </c>
      <c r="M9" s="10">
        <f>N9-K9</f>
        <v/>
      </c>
      <c r="N9" s="10" t="n">
        <v>100</v>
      </c>
      <c r="O9" s="11">
        <f>N9/$D$9</f>
        <v/>
      </c>
      <c r="P9" s="10">
        <f>Q9-N9</f>
        <v/>
      </c>
      <c r="Q9" s="10" t="n">
        <v>100</v>
      </c>
      <c r="R9" s="11">
        <f>Q9/$D$9</f>
        <v/>
      </c>
      <c r="S9" s="10">
        <f>T9-Q9</f>
        <v/>
      </c>
      <c r="T9" s="10" t="n">
        <v>100</v>
      </c>
      <c r="U9" s="11">
        <f>T9/$D$9</f>
        <v/>
      </c>
      <c r="V9" s="12">
        <f>W9-T9</f>
        <v/>
      </c>
      <c r="W9" s="12" t="n">
        <v>101</v>
      </c>
      <c r="X9" s="13">
        <f>W9/$D$9</f>
        <v/>
      </c>
      <c r="Y9" s="8" t="inlineStr"/>
    </row>
    <row r="10">
      <c r="A10" s="7" t="n">
        <v>6</v>
      </c>
      <c r="B10" s="8" t="inlineStr">
        <is>
          <t>Yahya Awal Mixed Development (JV with Sunway Property)</t>
        </is>
      </c>
      <c r="C10" s="9" t="n">
        <v>45936</v>
      </c>
      <c r="D10" s="10" t="n">
        <v>1012</v>
      </c>
      <c r="E10" s="7" t="inlineStr">
        <is>
          <t>31034-1</t>
        </is>
      </c>
      <c r="F10" s="8" t="inlineStr">
        <is>
          <t>SUNWAY MAJESTIC  SDN. BHD.</t>
        </is>
      </c>
      <c r="G10" s="10" t="n"/>
      <c r="H10" s="10" t="n">
        <v>393</v>
      </c>
      <c r="I10" s="11">
        <f>H10/$D$10</f>
        <v/>
      </c>
      <c r="J10" s="10">
        <f>K10-H10</f>
        <v/>
      </c>
      <c r="K10" s="10" t="n">
        <v>395</v>
      </c>
      <c r="L10" s="11">
        <f>K10/$D$10</f>
        <v/>
      </c>
      <c r="M10" s="10">
        <f>N10-K10</f>
        <v/>
      </c>
      <c r="N10" s="10" t="n">
        <v>397</v>
      </c>
      <c r="O10" s="11">
        <f>N10/$D$10</f>
        <v/>
      </c>
      <c r="P10" s="10">
        <f>Q10-N10</f>
        <v/>
      </c>
      <c r="Q10" s="10" t="n">
        <v>402</v>
      </c>
      <c r="R10" s="11">
        <f>Q10/$D$10</f>
        <v/>
      </c>
      <c r="S10" s="10">
        <f>T10-Q10</f>
        <v/>
      </c>
      <c r="T10" s="10" t="n">
        <v>407</v>
      </c>
      <c r="U10" s="11">
        <f>T10/$D$10</f>
        <v/>
      </c>
      <c r="V10" s="12">
        <f>W10-T10</f>
        <v/>
      </c>
      <c r="W10" s="12" t="n">
        <v>409</v>
      </c>
      <c r="X10" s="13">
        <f>W10/$D$10</f>
        <v/>
      </c>
      <c r="Y10" s="8" t="inlineStr">
        <is>
          <t>Latest sales - Block A: 302 units, Block B: 107 units</t>
        </is>
      </c>
    </row>
    <row r="11">
      <c r="A11" s="7" t="n">
        <v>7</v>
      </c>
      <c r="B11" s="8" t="inlineStr">
        <is>
          <t>George Town High-Rise Development</t>
        </is>
      </c>
      <c r="C11" s="9" t="n"/>
      <c r="D11" s="10" t="n">
        <v>0</v>
      </c>
      <c r="E11" s="7" t="inlineStr"/>
      <c r="F11" s="8" t="inlineStr"/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2" t="n"/>
      <c r="W11" s="12" t="n"/>
      <c r="X11" s="13" t="n"/>
      <c r="Y11" s="8" t="inlineStr">
        <is>
          <t>Not launched yet.</t>
        </is>
      </c>
    </row>
    <row r="12">
      <c r="A12" s="7" t="n">
        <v>8</v>
      </c>
      <c r="B12" s="8" t="inlineStr">
        <is>
          <t>Majestic Aman</t>
        </is>
      </c>
      <c r="C12" s="9" t="n">
        <v>45813</v>
      </c>
      <c r="D12" s="10" t="n">
        <v>73</v>
      </c>
      <c r="E12" s="7" t="inlineStr">
        <is>
          <t>30989-1</t>
        </is>
      </c>
      <c r="F12" s="8" t="inlineStr"/>
      <c r="G12" s="10" t="n"/>
      <c r="H12" s="10" t="n">
        <v>73</v>
      </c>
      <c r="I12" s="11">
        <f>H12/$D$12</f>
        <v/>
      </c>
      <c r="J12" s="10">
        <f>K12-H12</f>
        <v/>
      </c>
      <c r="K12" s="10" t="n">
        <v>73</v>
      </c>
      <c r="L12" s="11">
        <f>K12/$D$12</f>
        <v/>
      </c>
      <c r="M12" s="10">
        <f>N12-K12</f>
        <v/>
      </c>
      <c r="N12" s="10" t="n">
        <v>73</v>
      </c>
      <c r="O12" s="11">
        <f>N12/$D$12</f>
        <v/>
      </c>
      <c r="P12" s="10">
        <f>Q12-N12</f>
        <v/>
      </c>
      <c r="Q12" s="10" t="n">
        <v>73</v>
      </c>
      <c r="R12" s="11">
        <f>Q12/$D$12</f>
        <v/>
      </c>
      <c r="S12" s="10">
        <f>T12-Q12</f>
        <v/>
      </c>
      <c r="T12" s="10" t="n">
        <v>73</v>
      </c>
      <c r="U12" s="11">
        <f>T12/$D$12</f>
        <v/>
      </c>
      <c r="V12" s="12">
        <f>W12-T12</f>
        <v/>
      </c>
      <c r="W12" s="12" t="n">
        <v>73</v>
      </c>
      <c r="X12" s="13">
        <f>W12/$D$12</f>
        <v/>
      </c>
      <c r="Y12" s="8" t="inlineStr"/>
    </row>
    <row r="13">
      <c r="A13" s="7" t="n">
        <v>9</v>
      </c>
      <c r="B13" s="8" t="inlineStr">
        <is>
          <t>Majestic Flora</t>
        </is>
      </c>
      <c r="C13" s="9" t="n">
        <v>46191</v>
      </c>
      <c r="D13" s="10" t="n">
        <v>140</v>
      </c>
      <c r="E13" s="7" t="inlineStr">
        <is>
          <t>12069-7</t>
        </is>
      </c>
      <c r="F13" s="8" t="inlineStr"/>
      <c r="G13" s="10" t="n"/>
      <c r="H13" s="10" t="n">
        <v>0</v>
      </c>
      <c r="I13" s="11">
        <f>H13/$D$13</f>
        <v/>
      </c>
      <c r="J13" s="10">
        <f>K13-H13</f>
        <v/>
      </c>
      <c r="K13" s="10" t="n">
        <v>0</v>
      </c>
      <c r="L13" s="11">
        <f>K13/$D$13</f>
        <v/>
      </c>
      <c r="M13" s="10">
        <f>N13-K13</f>
        <v/>
      </c>
      <c r="N13" s="10" t="n">
        <v>0</v>
      </c>
      <c r="O13" s="11">
        <f>N13/$D$13</f>
        <v/>
      </c>
      <c r="P13" s="10">
        <f>Q13-N13</f>
        <v/>
      </c>
      <c r="Q13" s="10" t="n">
        <v>8</v>
      </c>
      <c r="R13" s="11">
        <f>Q13/$D$13</f>
        <v/>
      </c>
      <c r="S13" s="10">
        <f>T13-Q13</f>
        <v/>
      </c>
      <c r="T13" s="10" t="n">
        <v>9</v>
      </c>
      <c r="U13" s="11">
        <f>T13/$D$13</f>
        <v/>
      </c>
      <c r="V13" s="12">
        <f>W13-T13</f>
        <v/>
      </c>
      <c r="W13" s="12" t="n">
        <v>11</v>
      </c>
      <c r="X13" s="13">
        <f>W13/$D$13</f>
        <v/>
      </c>
      <c r="Y13" s="8" t="inlineStr"/>
    </row>
    <row r="14">
      <c r="A14" s="7" t="n">
        <v>10</v>
      </c>
      <c r="B14" s="8" t="inlineStr">
        <is>
          <t>Majestic PD Township*</t>
        </is>
      </c>
      <c r="C14" s="9" t="n"/>
      <c r="D14" s="10" t="n">
        <v>97</v>
      </c>
      <c r="E14" s="7" t="inlineStr"/>
      <c r="F14" s="8" t="inlineStr"/>
      <c r="G14" s="10" t="n"/>
      <c r="H14" s="10" t="n"/>
      <c r="I14" s="11" t="n"/>
      <c r="J14" s="10" t="n"/>
      <c r="K14" s="10" t="n"/>
      <c r="L14" s="11" t="n"/>
      <c r="M14" s="10" t="n"/>
      <c r="N14" s="10" t="n"/>
      <c r="O14" s="11" t="n"/>
      <c r="P14" s="10" t="n"/>
      <c r="Q14" s="10" t="n"/>
      <c r="R14" s="11" t="n"/>
      <c r="S14" s="10" t="n"/>
      <c r="T14" s="10" t="n"/>
      <c r="U14" s="11" t="n"/>
      <c r="V14" s="12" t="n"/>
      <c r="W14" s="12" t="n"/>
      <c r="X14" s="13" t="n"/>
      <c r="Y14" s="8" t="inlineStr">
        <is>
          <t>Not launched yet.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(MALTON)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Mutiara Kempas</t>
        </is>
      </c>
      <c r="C5" s="9" t="n">
        <v>46121</v>
      </c>
      <c r="D5" s="10" t="n">
        <v>562</v>
      </c>
      <c r="E5" s="7" t="inlineStr">
        <is>
          <t>31139-1</t>
        </is>
      </c>
      <c r="F5" s="8" t="inlineStr">
        <is>
          <t>KHUAN CHOO SDN. BHD.</t>
        </is>
      </c>
      <c r="G5" s="10" t="n"/>
      <c r="H5" s="10" t="n">
        <v>349</v>
      </c>
      <c r="I5" s="11">
        <f>H5/$D$5</f>
        <v/>
      </c>
      <c r="J5" s="10">
        <f>K5-H5</f>
        <v/>
      </c>
      <c r="K5" s="10" t="n">
        <v>361</v>
      </c>
      <c r="L5" s="11">
        <f>K5/$D$5</f>
        <v/>
      </c>
      <c r="M5" s="10">
        <f>N5-K5</f>
        <v/>
      </c>
      <c r="N5" s="10" t="n">
        <v>364</v>
      </c>
      <c r="O5" s="11">
        <f>N5/$D$5</f>
        <v/>
      </c>
      <c r="P5" s="10">
        <f>Q5-N5</f>
        <v/>
      </c>
      <c r="Q5" s="10" t="n">
        <v>366</v>
      </c>
      <c r="R5" s="11">
        <f>Q5/$D$5</f>
        <v/>
      </c>
      <c r="S5" s="10">
        <f>T5-Q5</f>
        <v/>
      </c>
      <c r="T5" s="10" t="n">
        <v>373</v>
      </c>
      <c r="U5" s="11">
        <f>T5/$D$5</f>
        <v/>
      </c>
      <c r="V5" s="12">
        <f>W5-T5</f>
        <v/>
      </c>
      <c r="W5" s="12" t="n">
        <v>378</v>
      </c>
      <c r="X5" s="13">
        <f>W5/$D$5</f>
        <v/>
      </c>
      <c r="Y5" s="8" t="inlineStr"/>
    </row>
    <row r="6">
      <c r="A6" s="7" t="n">
        <v>2</v>
      </c>
      <c r="B6" s="8" t="inlineStr">
        <is>
          <t>Mutiara Lake Puchong</t>
        </is>
      </c>
      <c r="C6" s="9" t="n">
        <v>46108</v>
      </c>
      <c r="D6" s="10" t="n">
        <v>526</v>
      </c>
      <c r="E6" s="7" t="inlineStr">
        <is>
          <t>8950-4</t>
        </is>
      </c>
      <c r="F6" s="8" t="inlineStr">
        <is>
          <t>INTERPILE (M) SDN BHD</t>
        </is>
      </c>
      <c r="G6" s="10" t="n"/>
      <c r="H6" s="10" t="n">
        <v>13</v>
      </c>
      <c r="I6" s="11">
        <f>H6/$D$6</f>
        <v/>
      </c>
      <c r="J6" s="10">
        <f>K6-H6</f>
        <v/>
      </c>
      <c r="K6" s="10" t="n">
        <v>15</v>
      </c>
      <c r="L6" s="11">
        <f>K6/$D$6</f>
        <v/>
      </c>
      <c r="M6" s="10">
        <f>N6-K6</f>
        <v/>
      </c>
      <c r="N6" s="10" t="n">
        <v>16</v>
      </c>
      <c r="O6" s="11">
        <f>N6/$D$6</f>
        <v/>
      </c>
      <c r="P6" s="10">
        <f>Q6-N6</f>
        <v/>
      </c>
      <c r="Q6" s="10" t="n">
        <v>19</v>
      </c>
      <c r="R6" s="11">
        <f>Q6/$D$6</f>
        <v/>
      </c>
      <c r="S6" s="10">
        <f>T6-Q6</f>
        <v/>
      </c>
      <c r="T6" s="10" t="n">
        <v>22</v>
      </c>
      <c r="U6" s="11">
        <f>T6/$D$6</f>
        <v/>
      </c>
      <c r="V6" s="12">
        <f>W6-T6</f>
        <v/>
      </c>
      <c r="W6" s="12" t="n">
        <v>25</v>
      </c>
      <c r="X6" s="13">
        <f>W6/$D$6</f>
        <v/>
      </c>
      <c r="Y6" s="8" t="inlineStr">
        <is>
          <t>Latest sales - Block N: 10 units, Block S: 15 units</t>
        </is>
      </c>
    </row>
    <row r="7">
      <c r="A7" s="7" t="n">
        <v>3</v>
      </c>
      <c r="B7" s="8" t="inlineStr">
        <is>
          <t>Park Green @ Pavilion Bukit Jalil</t>
        </is>
      </c>
      <c r="C7" s="9" t="n">
        <v>45565</v>
      </c>
      <c r="D7" s="10" t="n">
        <v>453</v>
      </c>
      <c r="E7" s="7" t="inlineStr">
        <is>
          <t>30667-1</t>
        </is>
      </c>
      <c r="F7" s="8" t="inlineStr">
        <is>
          <t>REGAL PATH SDN. BHD.</t>
        </is>
      </c>
      <c r="G7" s="10" t="n"/>
      <c r="H7" s="10" t="n">
        <v>393</v>
      </c>
      <c r="I7" s="11">
        <f>H7/$D$7</f>
        <v/>
      </c>
      <c r="J7" s="10">
        <f>K7-H7</f>
        <v/>
      </c>
      <c r="K7" s="10" t="n">
        <v>395</v>
      </c>
      <c r="L7" s="11">
        <f>K7/$D$7</f>
        <v/>
      </c>
      <c r="M7" s="10">
        <f>N7-K7</f>
        <v/>
      </c>
      <c r="N7" s="10" t="n">
        <v>397</v>
      </c>
      <c r="O7" s="11">
        <f>N7/$D$7</f>
        <v/>
      </c>
      <c r="P7" s="10">
        <f>Q7-N7</f>
        <v/>
      </c>
      <c r="Q7" s="10" t="n">
        <v>397</v>
      </c>
      <c r="R7" s="11">
        <f>Q7/$D$7</f>
        <v/>
      </c>
      <c r="S7" s="10">
        <f>T7-Q7</f>
        <v/>
      </c>
      <c r="T7" s="10" t="n">
        <v>398</v>
      </c>
      <c r="U7" s="11">
        <f>T7/$D$7</f>
        <v/>
      </c>
      <c r="V7" s="12">
        <f>W7-T7</f>
        <v/>
      </c>
      <c r="W7" s="12" t="n">
        <v>398</v>
      </c>
      <c r="X7" s="13">
        <f>W7/$D$7</f>
        <v/>
      </c>
      <c r="Y7" s="8" t="inlineStr">
        <is>
          <t>Latest sales - Block A: 172 units, Block B: 226 units</t>
        </is>
      </c>
    </row>
    <row r="8">
      <c r="A8" s="7" t="n">
        <v>4</v>
      </c>
      <c r="B8" s="8" t="inlineStr">
        <is>
          <t>Ria Bangsar South</t>
        </is>
      </c>
      <c r="C8" s="9" t="n">
        <v>45768</v>
      </c>
      <c r="D8" s="10" t="n">
        <v>336</v>
      </c>
      <c r="E8" s="7" t="inlineStr">
        <is>
          <t>14035-6</t>
        </is>
      </c>
      <c r="F8" s="8" t="inlineStr">
        <is>
          <t>KUMPULAN GAPADU SDN. BHD.</t>
        </is>
      </c>
      <c r="G8" s="10" t="n"/>
      <c r="H8" s="10" t="n">
        <v>329</v>
      </c>
      <c r="I8" s="11">
        <f>H8/$D$8</f>
        <v/>
      </c>
      <c r="J8" s="10">
        <f>K8-H8</f>
        <v/>
      </c>
      <c r="K8" s="10" t="n">
        <v>329</v>
      </c>
      <c r="L8" s="11">
        <f>K8/$D$8</f>
        <v/>
      </c>
      <c r="M8" s="10">
        <f>N8-K8</f>
        <v/>
      </c>
      <c r="N8" s="10" t="n">
        <v>331</v>
      </c>
      <c r="O8" s="11">
        <f>N8/$D$8</f>
        <v/>
      </c>
      <c r="P8" s="10">
        <f>Q8-N8</f>
        <v/>
      </c>
      <c r="Q8" s="10" t="n">
        <v>331</v>
      </c>
      <c r="R8" s="11">
        <f>Q8/$D$8</f>
        <v/>
      </c>
      <c r="S8" s="10">
        <f>T8-Q8</f>
        <v/>
      </c>
      <c r="T8" s="10" t="n">
        <v>333</v>
      </c>
      <c r="U8" s="11">
        <f>T8/$D$8</f>
        <v/>
      </c>
      <c r="V8" s="12">
        <f>W8-T8</f>
        <v/>
      </c>
      <c r="W8" s="12" t="n">
        <v>333</v>
      </c>
      <c r="X8" s="13">
        <f>W8/$D$8</f>
        <v/>
      </c>
      <c r="Y8" s="8" t="inlineStr"/>
    </row>
    <row r="9">
      <c r="A9" s="7" t="n">
        <v>5</v>
      </c>
      <c r="B9" s="8" t="inlineStr">
        <is>
          <t>River Park Bangsar South</t>
        </is>
      </c>
      <c r="C9" s="9" t="n">
        <v>44617</v>
      </c>
      <c r="D9" s="10" t="n">
        <v>1332</v>
      </c>
      <c r="E9" s="7" t="inlineStr">
        <is>
          <t>14035-4,14035-5</t>
        </is>
      </c>
      <c r="F9" s="8" t="inlineStr"/>
      <c r="G9" s="10" t="n"/>
      <c r="H9" s="10" t="n">
        <v>981</v>
      </c>
      <c r="I9" s="11">
        <f>H9/$D$9</f>
        <v/>
      </c>
      <c r="J9" s="10">
        <f>K9-H9</f>
        <v/>
      </c>
      <c r="K9" s="10" t="n">
        <v>984</v>
      </c>
      <c r="L9" s="11">
        <f>K9/$D$9</f>
        <v/>
      </c>
      <c r="M9" s="10">
        <f>N9-K9</f>
        <v/>
      </c>
      <c r="N9" s="10" t="n">
        <v>986</v>
      </c>
      <c r="O9" s="11">
        <f>N9/$D$9</f>
        <v/>
      </c>
      <c r="P9" s="10">
        <f>Q9-N9</f>
        <v/>
      </c>
      <c r="Q9" s="10" t="n">
        <v>991</v>
      </c>
      <c r="R9" s="11">
        <f>Q9/$D$9</f>
        <v/>
      </c>
      <c r="S9" s="10">
        <f>T9-Q9</f>
        <v/>
      </c>
      <c r="T9" s="10" t="n">
        <v>1002</v>
      </c>
      <c r="U9" s="11">
        <f>T9/$D$9</f>
        <v/>
      </c>
      <c r="V9" s="12">
        <f>W9-T9</f>
        <v/>
      </c>
      <c r="W9" s="12" t="n">
        <v>1005</v>
      </c>
      <c r="X9" s="13">
        <f>W9/$D$9</f>
        <v/>
      </c>
      <c r="Y9" s="8" t="inlineStr">
        <is>
          <t>Latest sales - Block A: 369 units, Block B: 339 units, Block C: 297 units</t>
        </is>
      </c>
    </row>
    <row r="10">
      <c r="A10" s="7" t="n">
        <v>6</v>
      </c>
      <c r="B10" s="8" t="inlineStr">
        <is>
          <t>Hill Residence</t>
        </is>
      </c>
      <c r="C10" s="9" t="n">
        <v>46027</v>
      </c>
      <c r="D10" s="10" t="n">
        <v>56</v>
      </c>
      <c r="E10" s="7" t="inlineStr">
        <is>
          <t>19346-4</t>
        </is>
      </c>
      <c r="F10" s="8" t="inlineStr">
        <is>
          <t>MALTON DEVELOPMENT SDN. BHD.</t>
        </is>
      </c>
      <c r="G10" s="10" t="n"/>
      <c r="H10" s="10" t="n"/>
      <c r="I10" s="11" t="n"/>
      <c r="J10" s="10" t="n"/>
      <c r="K10" s="10" t="n"/>
      <c r="L10" s="11" t="n"/>
      <c r="M10" s="10" t="n"/>
      <c r="N10" s="10" t="n">
        <v>1</v>
      </c>
      <c r="O10" s="11">
        <f>N10/$D$10</f>
        <v/>
      </c>
      <c r="P10" s="10">
        <f>Q10-N10</f>
        <v/>
      </c>
      <c r="Q10" s="10" t="n">
        <v>1</v>
      </c>
      <c r="R10" s="11">
        <f>Q10/$D$10</f>
        <v/>
      </c>
      <c r="S10" s="10">
        <f>T10-Q10</f>
        <v/>
      </c>
      <c r="T10" s="10" t="n">
        <v>1</v>
      </c>
      <c r="U10" s="11">
        <f>T10/$D$10</f>
        <v/>
      </c>
      <c r="V10" s="12">
        <f>W10-T10</f>
        <v/>
      </c>
      <c r="W10" s="12" t="n">
        <v>1</v>
      </c>
      <c r="X10" s="13">
        <f>W10/$D$10</f>
        <v/>
      </c>
      <c r="Y10" s="8" t="inlineStr"/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Y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(MAXIM)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Residensi Max II</t>
        </is>
      </c>
      <c r="C5" s="9" t="n">
        <v>45103</v>
      </c>
      <c r="D5" s="10" t="n">
        <v>604</v>
      </c>
      <c r="E5" s="7" t="inlineStr">
        <is>
          <t>30267-1</t>
        </is>
      </c>
      <c r="F5" s="8" t="inlineStr">
        <is>
          <t>PROMINENT MAXIM SDN. BHD.</t>
        </is>
      </c>
      <c r="G5" s="10" t="n"/>
      <c r="H5" s="10" t="n">
        <v>604</v>
      </c>
      <c r="I5" s="11">
        <f>H5/$D$5</f>
        <v/>
      </c>
      <c r="J5" s="10">
        <f>K5-H5</f>
        <v/>
      </c>
      <c r="K5" s="10" t="n">
        <v>604</v>
      </c>
      <c r="L5" s="11">
        <f>K5/$D$5</f>
        <v/>
      </c>
      <c r="M5" s="10">
        <f>N5-K5</f>
        <v/>
      </c>
      <c r="N5" s="10" t="n">
        <v>604</v>
      </c>
      <c r="O5" s="11">
        <f>N5/$D$5</f>
        <v/>
      </c>
      <c r="P5" s="10">
        <f>Q5-N5</f>
        <v/>
      </c>
      <c r="Q5" s="10" t="n">
        <v>604</v>
      </c>
      <c r="R5" s="11">
        <f>Q5/$D$5</f>
        <v/>
      </c>
      <c r="S5" s="10">
        <f>T5-Q5</f>
        <v/>
      </c>
      <c r="T5" s="10" t="n">
        <v>604</v>
      </c>
      <c r="U5" s="11">
        <f>T5/$D$5</f>
        <v/>
      </c>
      <c r="V5" s="12">
        <f>W5-T5</f>
        <v/>
      </c>
      <c r="W5" s="12" t="n">
        <v>604</v>
      </c>
      <c r="X5" s="13">
        <f>W5/$D$5</f>
        <v/>
      </c>
      <c r="Y5" s="8" t="inlineStr">
        <is>
          <t>Latest sales - Block A: 302 units, Block B: 302 units</t>
        </is>
      </c>
    </row>
    <row r="6">
      <c r="A6" s="7" t="n">
        <v>2</v>
      </c>
      <c r="B6" s="8" t="inlineStr">
        <is>
          <t>Residensi Maxim D’Parc</t>
        </is>
      </c>
      <c r="C6" s="9" t="n">
        <v>46057</v>
      </c>
      <c r="D6" s="10" t="n">
        <v>1116</v>
      </c>
      <c r="E6" s="7" t="inlineStr">
        <is>
          <t>31046-1</t>
        </is>
      </c>
      <c r="F6" s="8" t="inlineStr">
        <is>
          <t>MIZUMI MAXIM SDN. BHD.</t>
        </is>
      </c>
      <c r="G6" s="10" t="n"/>
      <c r="H6" s="10" t="n">
        <v>325</v>
      </c>
      <c r="I6" s="11">
        <f>H6/$D$6</f>
        <v/>
      </c>
      <c r="J6" s="10">
        <f>K6-H6</f>
        <v/>
      </c>
      <c r="K6" s="10" t="n">
        <v>327</v>
      </c>
      <c r="L6" s="11">
        <f>K6/$D$6</f>
        <v/>
      </c>
      <c r="M6" s="10">
        <f>N6-K6</f>
        <v/>
      </c>
      <c r="N6" s="10" t="n">
        <v>335</v>
      </c>
      <c r="O6" s="11">
        <f>N6/$D$6</f>
        <v/>
      </c>
      <c r="P6" s="10">
        <f>Q6-N6</f>
        <v/>
      </c>
      <c r="Q6" s="10" t="n">
        <v>346</v>
      </c>
      <c r="R6" s="11">
        <f>Q6/$D$6</f>
        <v/>
      </c>
      <c r="S6" s="10">
        <f>T6-Q6</f>
        <v/>
      </c>
      <c r="T6" s="10" t="n">
        <v>353</v>
      </c>
      <c r="U6" s="11">
        <f>T6/$D$6</f>
        <v/>
      </c>
      <c r="V6" s="12">
        <f>W6-T6</f>
        <v/>
      </c>
      <c r="W6" s="12" t="n">
        <v>361</v>
      </c>
      <c r="X6" s="13">
        <f>W6/$D$6</f>
        <v/>
      </c>
      <c r="Y6" s="8" t="inlineStr">
        <is>
          <t>Latest sales - Block A: 127 units, Block B: 234 units</t>
        </is>
      </c>
    </row>
    <row r="7">
      <c r="A7" s="7" t="n">
        <v>3</v>
      </c>
      <c r="B7" s="8" t="inlineStr">
        <is>
          <t>Residensi Maxim Pelangi</t>
        </is>
      </c>
      <c r="C7" s="9" t="n">
        <v>45884</v>
      </c>
      <c r="D7" s="10" t="n">
        <v>2743</v>
      </c>
      <c r="E7" s="7" t="inlineStr">
        <is>
          <t>31074-1</t>
        </is>
      </c>
      <c r="F7" s="8" t="inlineStr">
        <is>
          <t>MAXIM PELANGI SDN. BHD.</t>
        </is>
      </c>
      <c r="G7" s="10" t="n"/>
      <c r="H7" s="10" t="n">
        <v>1011</v>
      </c>
      <c r="I7" s="11">
        <f>H7/$D$7</f>
        <v/>
      </c>
      <c r="J7" s="10">
        <f>K7-H7</f>
        <v/>
      </c>
      <c r="K7" s="10" t="n">
        <v>1022</v>
      </c>
      <c r="L7" s="11">
        <f>K7/$D$7</f>
        <v/>
      </c>
      <c r="M7" s="10">
        <f>N7-K7</f>
        <v/>
      </c>
      <c r="N7" s="10" t="n">
        <v>1031</v>
      </c>
      <c r="O7" s="11">
        <f>N7/$D$7</f>
        <v/>
      </c>
      <c r="P7" s="10">
        <f>Q7-N7</f>
        <v/>
      </c>
      <c r="Q7" s="10" t="n">
        <v>1045</v>
      </c>
      <c r="R7" s="11">
        <f>Q7/$D$7</f>
        <v/>
      </c>
      <c r="S7" s="10">
        <f>T7-Q7</f>
        <v/>
      </c>
      <c r="T7" s="10" t="n">
        <v>1064</v>
      </c>
      <c r="U7" s="11">
        <f>T7/$D$7</f>
        <v/>
      </c>
      <c r="V7" s="12">
        <f>W7-T7</f>
        <v/>
      </c>
      <c r="W7" s="12" t="n">
        <v>1074</v>
      </c>
      <c r="X7" s="13">
        <f>W7/$D$7</f>
        <v/>
      </c>
      <c r="Y7" s="8" t="inlineStr">
        <is>
          <t>Latest sales - Block A: 414 units, Block B: 388 units, Block C: 272 units</t>
        </is>
      </c>
    </row>
    <row r="8">
      <c r="A8" s="7" t="n">
        <v>4</v>
      </c>
      <c r="B8" s="8" t="inlineStr">
        <is>
          <t>Residensi Maxim Risen</t>
        </is>
      </c>
      <c r="C8" s="9" t="n">
        <v>44733</v>
      </c>
      <c r="D8" s="10" t="n">
        <v>1236</v>
      </c>
      <c r="E8" s="7" t="inlineStr">
        <is>
          <t>30037-1</t>
        </is>
      </c>
      <c r="F8" s="8" t="inlineStr">
        <is>
          <t>BUILTAMONT DEVELOPMENT SDN. BHD.</t>
        </is>
      </c>
      <c r="G8" s="10" t="n"/>
      <c r="H8" s="10" t="n">
        <v>1236</v>
      </c>
      <c r="I8" s="11">
        <f>H8/$D$8</f>
        <v/>
      </c>
      <c r="J8" s="10">
        <f>K8-H8</f>
        <v/>
      </c>
      <c r="K8" s="10" t="n">
        <v>1236</v>
      </c>
      <c r="L8" s="11">
        <f>K8/$D$8</f>
        <v/>
      </c>
      <c r="M8" s="10">
        <f>N8-K8</f>
        <v/>
      </c>
      <c r="N8" s="10" t="n">
        <v>1236</v>
      </c>
      <c r="O8" s="11">
        <f>N8/$D$8</f>
        <v/>
      </c>
      <c r="P8" s="10">
        <f>Q8-N8</f>
        <v/>
      </c>
      <c r="Q8" s="10" t="n">
        <v>1236</v>
      </c>
      <c r="R8" s="11">
        <f>Q8/$D$8</f>
        <v/>
      </c>
      <c r="S8" s="10">
        <f>T8-Q8</f>
        <v/>
      </c>
      <c r="T8" s="10" t="n">
        <v>1236</v>
      </c>
      <c r="U8" s="11">
        <f>T8/$D$8</f>
        <v/>
      </c>
      <c r="V8" s="12">
        <f>W8-T8</f>
        <v/>
      </c>
      <c r="W8" s="12" t="n">
        <v>1236</v>
      </c>
      <c r="X8" s="13">
        <f>W8/$D$8</f>
        <v/>
      </c>
      <c r="Y8" s="8" t="inlineStr">
        <is>
          <t>Latest sales - Block A: 629 units, Block B: 607 units</t>
        </is>
      </c>
    </row>
    <row r="9">
      <c r="A9" s="7" t="n">
        <v>5</v>
      </c>
      <c r="B9" s="8" t="inlineStr">
        <is>
          <t>Residensi The Atas</t>
        </is>
      </c>
      <c r="C9" s="9" t="n">
        <v>45412</v>
      </c>
      <c r="D9" s="10" t="n">
        <v>624</v>
      </c>
      <c r="E9" s="7" t="inlineStr">
        <is>
          <t>19088-3</t>
        </is>
      </c>
      <c r="F9" s="8" t="inlineStr">
        <is>
          <t>KAISAR MAXIM SDN. BHD.</t>
        </is>
      </c>
      <c r="G9" s="10" t="n"/>
      <c r="H9" s="10" t="n">
        <v>523</v>
      </c>
      <c r="I9" s="11">
        <f>H9/$D$9</f>
        <v/>
      </c>
      <c r="J9" s="10">
        <f>K9-H9</f>
        <v/>
      </c>
      <c r="K9" s="10" t="n">
        <v>527</v>
      </c>
      <c r="L9" s="11">
        <f>K9/$D$9</f>
        <v/>
      </c>
      <c r="M9" s="10">
        <f>N9-K9</f>
        <v/>
      </c>
      <c r="N9" s="10" t="n">
        <v>528</v>
      </c>
      <c r="O9" s="11">
        <f>N9/$D$9</f>
        <v/>
      </c>
      <c r="P9" s="10">
        <f>Q9-N9</f>
        <v/>
      </c>
      <c r="Q9" s="10" t="n">
        <v>528</v>
      </c>
      <c r="R9" s="11">
        <f>Q9/$D$9</f>
        <v/>
      </c>
      <c r="S9" s="10">
        <f>T9-Q9</f>
        <v/>
      </c>
      <c r="T9" s="10" t="n">
        <v>530</v>
      </c>
      <c r="U9" s="11">
        <f>T9/$D$9</f>
        <v/>
      </c>
      <c r="V9" s="12">
        <f>W9-T9</f>
        <v/>
      </c>
      <c r="W9" s="12" t="n">
        <v>533</v>
      </c>
      <c r="X9" s="13">
        <f>W9/$D$9</f>
        <v/>
      </c>
      <c r="Y9" s="8" t="inlineStr">
        <is>
          <t>Latest sales - Block A: 181 units, Block B: 165 units, Block C: 187 units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V1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(MB WORLD)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Vista Tiara (MBW Bay)</t>
        </is>
      </c>
      <c r="C5" s="9" t="n">
        <v>45447</v>
      </c>
      <c r="D5" s="10" t="n">
        <v>1299</v>
      </c>
      <c r="E5" s="7" t="inlineStr">
        <is>
          <t>30688-1</t>
        </is>
      </c>
      <c r="F5" s="8" t="inlineStr">
        <is>
          <t>MB WORLD PROPERTIES SDN. BHD.</t>
        </is>
      </c>
      <c r="G5" s="10" t="n"/>
      <c r="H5" s="10" t="n">
        <v>746</v>
      </c>
      <c r="I5" s="11">
        <f>H5/$D$5</f>
        <v/>
      </c>
      <c r="J5" s="10">
        <f>K5-H5</f>
        <v/>
      </c>
      <c r="K5" s="10" t="n">
        <v>750</v>
      </c>
      <c r="L5" s="11">
        <f>K5/$D$5</f>
        <v/>
      </c>
      <c r="M5" s="10">
        <f>N5-K5</f>
        <v/>
      </c>
      <c r="N5" s="10" t="n">
        <v>758</v>
      </c>
      <c r="O5" s="11">
        <f>N5/$D$5</f>
        <v/>
      </c>
      <c r="P5" s="10">
        <f>Q5-N5</f>
        <v/>
      </c>
      <c r="Q5" s="10" t="n">
        <v>765</v>
      </c>
      <c r="R5" s="11">
        <f>Q5/$D$5</f>
        <v/>
      </c>
      <c r="S5" s="12">
        <f>T5-Q5</f>
        <v/>
      </c>
      <c r="T5" s="12" t="n">
        <v>777</v>
      </c>
      <c r="U5" s="13">
        <f>T5/$D$5</f>
        <v/>
      </c>
      <c r="V5" s="8" t="inlineStr">
        <is>
          <t>Latest sales - Block T4: 170 units, Block T5: 137 units, Block T6: 210 units, Block T7: 136 units, Block T8: 124 units</t>
        </is>
      </c>
    </row>
    <row r="6">
      <c r="A6" s="7" t="n">
        <v>2</v>
      </c>
      <c r="B6" s="8" t="inlineStr">
        <is>
          <t>Permas Heights</t>
        </is>
      </c>
      <c r="C6" s="9" t="n">
        <v>45708</v>
      </c>
      <c r="D6" s="10" t="n">
        <v>1950</v>
      </c>
      <c r="E6" s="7" t="inlineStr">
        <is>
          <t>30946-1</t>
        </is>
      </c>
      <c r="F6" s="8" t="inlineStr">
        <is>
          <t>BLOOMING PROPERTIES SDN. BHD.</t>
        </is>
      </c>
      <c r="G6" s="10" t="n"/>
      <c r="H6" s="10" t="n">
        <v>982</v>
      </c>
      <c r="I6" s="11">
        <f>H6/$D$6</f>
        <v/>
      </c>
      <c r="J6" s="10">
        <f>K6-H6</f>
        <v/>
      </c>
      <c r="K6" s="10" t="n">
        <v>993</v>
      </c>
      <c r="L6" s="11">
        <f>K6/$D$6</f>
        <v/>
      </c>
      <c r="M6" s="10">
        <f>N6-K6</f>
        <v/>
      </c>
      <c r="N6" s="10" t="n">
        <v>1007</v>
      </c>
      <c r="O6" s="11">
        <f>N6/$D$6</f>
        <v/>
      </c>
      <c r="P6" s="10">
        <f>Q6-N6</f>
        <v/>
      </c>
      <c r="Q6" s="10" t="n">
        <v>1017</v>
      </c>
      <c r="R6" s="11">
        <f>Q6/$D$6</f>
        <v/>
      </c>
      <c r="S6" s="12">
        <f>T6-Q6</f>
        <v/>
      </c>
      <c r="T6" s="12" t="n">
        <v>1025</v>
      </c>
      <c r="U6" s="13">
        <f>T6/$D$6</f>
        <v/>
      </c>
      <c r="V6" s="8" t="inlineStr">
        <is>
          <t>Latest sales - Block A: 422 units, Block B: 397 units, Block C: 92 units, Block D: 114 units</t>
        </is>
      </c>
    </row>
    <row r="7">
      <c r="A7" s="7" t="n">
        <v>3</v>
      </c>
      <c r="B7" s="8" t="inlineStr">
        <is>
          <t>Avenue Residences (MBW City Ph.3)</t>
        </is>
      </c>
      <c r="C7" s="9" t="n">
        <v>45366</v>
      </c>
      <c r="D7" s="10" t="n">
        <v>1796</v>
      </c>
      <c r="E7" s="7" t="inlineStr">
        <is>
          <t>20101-2</t>
        </is>
      </c>
      <c r="F7" s="8" t="inlineStr">
        <is>
          <t>MBW CITY SDN. BHD.</t>
        </is>
      </c>
      <c r="G7" s="10" t="n"/>
      <c r="H7" s="10" t="n">
        <v>1365</v>
      </c>
      <c r="I7" s="11">
        <f>H7/$D$7</f>
        <v/>
      </c>
      <c r="J7" s="10">
        <f>K7-H7</f>
        <v/>
      </c>
      <c r="K7" s="10" t="n">
        <v>1365</v>
      </c>
      <c r="L7" s="11">
        <f>K7/$D$7</f>
        <v/>
      </c>
      <c r="M7" s="10">
        <f>N7-K7</f>
        <v/>
      </c>
      <c r="N7" s="10" t="n">
        <v>1367</v>
      </c>
      <c r="O7" s="11">
        <f>N7/$D$7</f>
        <v/>
      </c>
      <c r="P7" s="10">
        <f>Q7-N7</f>
        <v/>
      </c>
      <c r="Q7" s="10" t="n">
        <v>1367</v>
      </c>
      <c r="R7" s="11">
        <f>Q7/$D$7</f>
        <v/>
      </c>
      <c r="S7" s="12">
        <f>T7-Q7</f>
        <v/>
      </c>
      <c r="T7" s="12" t="n">
        <v>1367</v>
      </c>
      <c r="U7" s="13">
        <f>T7/$D$7</f>
        <v/>
      </c>
      <c r="V7" s="8" t="inlineStr">
        <is>
          <t>Latest sales - Block D: 296 units, Block E: 367 units, Block F: 375 units, Block G: 329 units</t>
        </is>
      </c>
    </row>
    <row r="8">
      <c r="A8" s="7" t="n">
        <v>4</v>
      </c>
      <c r="B8" s="8" t="inlineStr">
        <is>
          <t>Veranda Residences Phase 2 (MBW City Ph.4)</t>
        </is>
      </c>
      <c r="C8" s="9" t="n">
        <v>45784</v>
      </c>
      <c r="D8" s="10" t="n">
        <v>649</v>
      </c>
      <c r="E8" s="7" t="inlineStr">
        <is>
          <t>19932-2</t>
        </is>
      </c>
      <c r="F8" s="8" t="inlineStr">
        <is>
          <t>PARKWOOD PALMS SDN. BHD.</t>
        </is>
      </c>
      <c r="G8" s="10" t="n"/>
      <c r="H8" s="10" t="n">
        <v>138</v>
      </c>
      <c r="I8" s="11">
        <f>H8/$D$8</f>
        <v/>
      </c>
      <c r="J8" s="10">
        <f>K8-H8</f>
        <v/>
      </c>
      <c r="K8" s="10" t="n">
        <v>139</v>
      </c>
      <c r="L8" s="11">
        <f>K8/$D$8</f>
        <v/>
      </c>
      <c r="M8" s="10">
        <f>N8-K8</f>
        <v/>
      </c>
      <c r="N8" s="10" t="n">
        <v>139</v>
      </c>
      <c r="O8" s="11">
        <f>N8/$D$8</f>
        <v/>
      </c>
      <c r="P8" s="10">
        <f>Q8-N8</f>
        <v/>
      </c>
      <c r="Q8" s="10" t="n">
        <v>139</v>
      </c>
      <c r="R8" s="11">
        <f>Q8/$D$8</f>
        <v/>
      </c>
      <c r="S8" s="12">
        <f>T8-Q8</f>
        <v/>
      </c>
      <c r="T8" s="12" t="n">
        <v>139</v>
      </c>
      <c r="U8" s="13">
        <f>T8/$D$8</f>
        <v/>
      </c>
      <c r="V8" s="8" t="inlineStr">
        <is>
          <t>Latest sales - Block C: 55 units, Block D: 84 units</t>
        </is>
      </c>
    </row>
    <row r="9">
      <c r="A9" s="7" t="n">
        <v>5</v>
      </c>
      <c r="B9" s="8" t="inlineStr">
        <is>
          <t>Florian Residences Towers 1-8 (MBW Bay)</t>
        </is>
      </c>
      <c r="C9" s="9" t="n"/>
      <c r="D9" s="10" t="n">
        <v>704</v>
      </c>
      <c r="E9" s="7" t="inlineStr"/>
      <c r="F9" s="8" t="inlineStr"/>
      <c r="G9" s="10" t="n"/>
      <c r="H9" s="10" t="n"/>
      <c r="I9" s="11" t="n"/>
      <c r="J9" s="10" t="n"/>
      <c r="K9" s="10" t="n"/>
      <c r="L9" s="11" t="n"/>
      <c r="M9" s="10" t="n"/>
      <c r="N9" s="10" t="n"/>
      <c r="O9" s="11" t="n"/>
      <c r="P9" s="10" t="n"/>
      <c r="Q9" s="10" t="n"/>
      <c r="R9" s="11" t="n"/>
      <c r="S9" s="12" t="n"/>
      <c r="T9" s="12" t="n"/>
      <c r="U9" s="13" t="n"/>
      <c r="V9" s="8" t="inlineStr">
        <is>
          <t>Not launched yet.</t>
        </is>
      </c>
    </row>
    <row r="10">
      <c r="A10" s="7" t="n">
        <v>6</v>
      </c>
      <c r="B10" s="8" t="inlineStr">
        <is>
          <t>Ariela Residences (MBW Cove)</t>
        </is>
      </c>
      <c r="C10" s="9" t="n">
        <v>46015</v>
      </c>
      <c r="D10" s="10" t="n">
        <v>449</v>
      </c>
      <c r="E10" s="7" t="inlineStr">
        <is>
          <t>30588-4</t>
        </is>
      </c>
      <c r="F10" s="8" t="inlineStr">
        <is>
          <t>MBW COVE SDN. BHD.</t>
        </is>
      </c>
      <c r="G10" s="10" t="n"/>
      <c r="H10" s="10" t="n">
        <v>111</v>
      </c>
      <c r="I10" s="11">
        <f>H10/$D$10</f>
        <v/>
      </c>
      <c r="J10" s="10">
        <f>K10-H10</f>
        <v/>
      </c>
      <c r="K10" s="10" t="n">
        <v>114</v>
      </c>
      <c r="L10" s="11">
        <f>K10/$D$10</f>
        <v/>
      </c>
      <c r="M10" s="10">
        <f>N10-K10</f>
        <v/>
      </c>
      <c r="N10" s="10" t="n">
        <v>116</v>
      </c>
      <c r="O10" s="11">
        <f>N10/$D$10</f>
        <v/>
      </c>
      <c r="P10" s="10">
        <f>Q10-N10</f>
        <v/>
      </c>
      <c r="Q10" s="10" t="n">
        <v>117</v>
      </c>
      <c r="R10" s="11">
        <f>Q10/$D$10</f>
        <v/>
      </c>
      <c r="S10" s="12">
        <f>T10-Q10</f>
        <v/>
      </c>
      <c r="T10" s="12" t="n">
        <v>118</v>
      </c>
      <c r="U10" s="13">
        <f>T10/$D$10</f>
        <v/>
      </c>
      <c r="V10" s="8" t="inlineStr">
        <is>
          <t>Latest sales - Block L: 118 units</t>
        </is>
      </c>
    </row>
    <row r="11">
      <c r="A11" s="7" t="n">
        <v>7</v>
      </c>
      <c r="B11" s="8" t="inlineStr">
        <is>
          <t>Aville Residences (MBW Cove)</t>
        </is>
      </c>
      <c r="C11" s="9" t="n">
        <v>45456</v>
      </c>
      <c r="D11" s="10" t="n">
        <v>1046</v>
      </c>
      <c r="E11" s="7" t="inlineStr">
        <is>
          <t>30588-1</t>
        </is>
      </c>
      <c r="F11" s="8" t="inlineStr">
        <is>
          <t>MBW COVE SDN. BHD.</t>
        </is>
      </c>
      <c r="G11" s="10" t="n"/>
      <c r="H11" s="10" t="n">
        <v>984</v>
      </c>
      <c r="I11" s="11">
        <f>H11/$D$11</f>
        <v/>
      </c>
      <c r="J11" s="10">
        <f>K11-H11</f>
        <v/>
      </c>
      <c r="K11" s="10" t="n">
        <v>987</v>
      </c>
      <c r="L11" s="11">
        <f>K11/$D$11</f>
        <v/>
      </c>
      <c r="M11" s="10">
        <f>N11-K11</f>
        <v/>
      </c>
      <c r="N11" s="10" t="n">
        <v>990</v>
      </c>
      <c r="O11" s="11">
        <f>N11/$D$11</f>
        <v/>
      </c>
      <c r="P11" s="10">
        <f>Q11-N11</f>
        <v/>
      </c>
      <c r="Q11" s="10" t="n">
        <v>994</v>
      </c>
      <c r="R11" s="11">
        <f>Q11/$D$11</f>
        <v/>
      </c>
      <c r="S11" s="12">
        <f>T11-Q11</f>
        <v/>
      </c>
      <c r="T11" s="12" t="n">
        <v>994</v>
      </c>
      <c r="U11" s="13">
        <f>T11/$D$11</f>
        <v/>
      </c>
      <c r="V11" s="8" t="inlineStr">
        <is>
          <t>Latest sales - Block A: 524 units, Block B: 470 units</t>
        </is>
      </c>
    </row>
    <row r="12">
      <c r="A12" s="7" t="n">
        <v>8</v>
      </c>
      <c r="B12" s="8" t="inlineStr">
        <is>
          <t>Taman Teluk Permata (MBW Cove)</t>
        </is>
      </c>
      <c r="C12" s="9" t="n">
        <v>45457</v>
      </c>
      <c r="D12" s="10" t="n">
        <v>63</v>
      </c>
      <c r="E12" s="7" t="inlineStr">
        <is>
          <t>30588-2</t>
        </is>
      </c>
      <c r="F12" s="8" t="inlineStr">
        <is>
          <t>MBW COVE SDN. BHD.</t>
        </is>
      </c>
      <c r="G12" s="10" t="n"/>
      <c r="H12" s="10" t="n">
        <v>63</v>
      </c>
      <c r="I12" s="11">
        <f>H12/$D$12</f>
        <v/>
      </c>
      <c r="J12" s="10">
        <f>K12-H12</f>
        <v/>
      </c>
      <c r="K12" s="10" t="n">
        <v>63</v>
      </c>
      <c r="L12" s="11">
        <f>K12/$D$12</f>
        <v/>
      </c>
      <c r="M12" s="10">
        <f>N12-K12</f>
        <v/>
      </c>
      <c r="N12" s="10" t="n">
        <v>63</v>
      </c>
      <c r="O12" s="11">
        <f>N12/$D$12</f>
        <v/>
      </c>
      <c r="P12" s="10">
        <f>Q12-N12</f>
        <v/>
      </c>
      <c r="Q12" s="10" t="n">
        <v>63</v>
      </c>
      <c r="R12" s="11">
        <f>Q12/$D$12</f>
        <v/>
      </c>
      <c r="S12" s="12">
        <f>T12-Q12</f>
        <v/>
      </c>
      <c r="T12" s="12" t="n">
        <v>63</v>
      </c>
      <c r="U12" s="13">
        <f>T12/$D$12</f>
        <v/>
      </c>
      <c r="V12" s="8" t="inlineStr"/>
    </row>
    <row r="13">
      <c r="A13" s="7" t="n">
        <v>9</v>
      </c>
      <c r="B13" s="8" t="inlineStr">
        <is>
          <t>Residensi Perbadanan Islam Teluk Permata</t>
        </is>
      </c>
      <c r="C13" s="9" t="n">
        <v>45666</v>
      </c>
      <c r="D13" s="10" t="n">
        <v>105</v>
      </c>
      <c r="E13" s="7" t="inlineStr">
        <is>
          <t>30588-3</t>
        </is>
      </c>
      <c r="F13" s="8" t="inlineStr">
        <is>
          <t>MBW COVE SDN. BHD.</t>
        </is>
      </c>
      <c r="G13" s="10" t="n"/>
      <c r="H13" s="10" t="n">
        <v>91</v>
      </c>
      <c r="I13" s="11">
        <f>H13/$D$13</f>
        <v/>
      </c>
      <c r="J13" s="10">
        <f>K13-H13</f>
        <v/>
      </c>
      <c r="K13" s="10" t="n">
        <v>91</v>
      </c>
      <c r="L13" s="11">
        <f>K13/$D$13</f>
        <v/>
      </c>
      <c r="M13" s="10">
        <f>N13-K13</f>
        <v/>
      </c>
      <c r="N13" s="10" t="n">
        <v>91</v>
      </c>
      <c r="O13" s="11">
        <f>N13/$D$13</f>
        <v/>
      </c>
      <c r="P13" s="10">
        <f>Q13-N13</f>
        <v/>
      </c>
      <c r="Q13" s="10" t="n">
        <v>91</v>
      </c>
      <c r="R13" s="11">
        <f>Q13/$D$13</f>
        <v/>
      </c>
      <c r="S13" s="12">
        <f>T13-Q13</f>
        <v/>
      </c>
      <c r="T13" s="12" t="n">
        <v>91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MBW Boulevard 1</t>
        </is>
      </c>
      <c r="C14" s="9" t="n">
        <v>45833</v>
      </c>
      <c r="D14" s="10" t="n">
        <v>945</v>
      </c>
      <c r="E14" s="7" t="inlineStr">
        <is>
          <t>30981-1</t>
        </is>
      </c>
      <c r="F14" s="8" t="inlineStr">
        <is>
          <t>TIARA CEMERLANG SDN. BHD.</t>
        </is>
      </c>
      <c r="G14" s="10" t="n"/>
      <c r="H14" s="10" t="n">
        <v>636</v>
      </c>
      <c r="I14" s="11">
        <f>H14/$D$14</f>
        <v/>
      </c>
      <c r="J14" s="10">
        <f>K14-H14</f>
        <v/>
      </c>
      <c r="K14" s="10" t="n">
        <v>646</v>
      </c>
      <c r="L14" s="11">
        <f>K14/$D$14</f>
        <v/>
      </c>
      <c r="M14" s="10">
        <f>N14-K14</f>
        <v/>
      </c>
      <c r="N14" s="10" t="n">
        <v>652</v>
      </c>
      <c r="O14" s="11">
        <f>N14/$D$14</f>
        <v/>
      </c>
      <c r="P14" s="10">
        <f>Q14-N14</f>
        <v/>
      </c>
      <c r="Q14" s="10" t="n">
        <v>659</v>
      </c>
      <c r="R14" s="11">
        <f>Q14/$D$14</f>
        <v/>
      </c>
      <c r="S14" s="12">
        <f>T14-Q14</f>
        <v/>
      </c>
      <c r="T14" s="12" t="n">
        <v>665</v>
      </c>
      <c r="U14" s="13">
        <f>T14/$D$14</f>
        <v/>
      </c>
      <c r="V14" s="8" t="inlineStr">
        <is>
          <t>Latest sales - Block A: 244 units, Block B: 229 units, Block C: 192 units</t>
        </is>
      </c>
    </row>
    <row r="15">
      <c r="A15" s="7" t="n">
        <v>11</v>
      </c>
      <c r="B15" s="8" t="inlineStr">
        <is>
          <t>Mertajam Heights</t>
        </is>
      </c>
      <c r="C15" s="9" t="n">
        <v>45001</v>
      </c>
      <c r="D15" s="10" t="n">
        <v>278</v>
      </c>
      <c r="E15" s="7" t="inlineStr">
        <is>
          <t>19387-2</t>
        </is>
      </c>
      <c r="F15" s="8" t="inlineStr">
        <is>
          <t>CRYSTAL FABER SDN. BHD.</t>
        </is>
      </c>
      <c r="G15" s="10" t="n"/>
      <c r="H15" s="10" t="n">
        <v>236</v>
      </c>
      <c r="I15" s="11">
        <f>H15/$D$15</f>
        <v/>
      </c>
      <c r="J15" s="10">
        <f>K15-H15</f>
        <v/>
      </c>
      <c r="K15" s="10" t="n">
        <v>237</v>
      </c>
      <c r="L15" s="11">
        <f>K15/$D$15</f>
        <v/>
      </c>
      <c r="M15" s="10">
        <f>N15-K15</f>
        <v/>
      </c>
      <c r="N15" s="10" t="n">
        <v>237</v>
      </c>
      <c r="O15" s="11">
        <f>N15/$D$15</f>
        <v/>
      </c>
      <c r="P15" s="10">
        <f>Q15-N15</f>
        <v/>
      </c>
      <c r="Q15" s="10" t="n">
        <v>237</v>
      </c>
      <c r="R15" s="11">
        <f>Q15/$D$15</f>
        <v/>
      </c>
      <c r="S15" s="12">
        <f>T15-Q15</f>
        <v/>
      </c>
      <c r="T15" s="12" t="n">
        <v>238</v>
      </c>
      <c r="U15" s="13">
        <f>T15/$D$15</f>
        <v/>
      </c>
      <c r="V15" s="8" t="inlineStr">
        <is>
          <t>Latest sales - Block L: 238 units</t>
        </is>
      </c>
    </row>
    <row r="16">
      <c r="A16" s="7" t="n">
        <v>12</v>
      </c>
      <c r="B16" s="8" t="inlineStr">
        <is>
          <t>Aura 1 (Phase 2) @ Taman Sri Penawar</t>
        </is>
      </c>
      <c r="C16" s="9" t="n">
        <v>45685</v>
      </c>
      <c r="D16" s="10" t="n">
        <v>134</v>
      </c>
      <c r="E16" s="7" t="inlineStr">
        <is>
          <t>14589-11</t>
        </is>
      </c>
      <c r="F16" s="8" t="inlineStr">
        <is>
          <t>COCOA VALLEY DEVELOPMENT SDN. BHD.</t>
        </is>
      </c>
      <c r="G16" s="10" t="n"/>
      <c r="H16" s="10" t="n">
        <v>70</v>
      </c>
      <c r="I16" s="11">
        <f>H16/$D$16</f>
        <v/>
      </c>
      <c r="J16" s="10">
        <f>K16-H16</f>
        <v/>
      </c>
      <c r="K16" s="10" t="n">
        <v>70</v>
      </c>
      <c r="L16" s="11">
        <f>K16/$D$16</f>
        <v/>
      </c>
      <c r="M16" s="10">
        <f>N16-K16</f>
        <v/>
      </c>
      <c r="N16" s="10" t="n">
        <v>70</v>
      </c>
      <c r="O16" s="11">
        <f>N16/$D$16</f>
        <v/>
      </c>
      <c r="P16" s="10">
        <f>Q16-N16</f>
        <v/>
      </c>
      <c r="Q16" s="10" t="n">
        <v>70</v>
      </c>
      <c r="R16" s="11">
        <f>Q16/$D$16</f>
        <v/>
      </c>
      <c r="S16" s="12">
        <f>T16-Q16</f>
        <v/>
      </c>
      <c r="T16" s="12" t="n">
        <v>70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VISTA TIARA 1</t>
        </is>
      </c>
      <c r="C17" s="9" t="n">
        <v>46293</v>
      </c>
      <c r="D17" s="10" t="n">
        <v>704</v>
      </c>
      <c r="E17" s="7" t="inlineStr">
        <is>
          <t>30688-2</t>
        </is>
      </c>
      <c r="F17" s="8" t="inlineStr">
        <is>
          <t>MB WORLD PROPERTIES SDN. BHD.</t>
        </is>
      </c>
      <c r="G17" s="10" t="n"/>
      <c r="H17" s="10" t="n"/>
      <c r="I17" s="11" t="n"/>
      <c r="J17" s="10" t="n"/>
      <c r="K17" s="10" t="n"/>
      <c r="L17" s="11" t="n"/>
      <c r="M17" s="10" t="n"/>
      <c r="N17" s="10" t="n"/>
      <c r="O17" s="11" t="n"/>
      <c r="P17" s="10" t="n"/>
      <c r="Q17" s="10" t="n">
        <v>0</v>
      </c>
      <c r="R17" s="11">
        <f>Q17/$D$17</f>
        <v/>
      </c>
      <c r="S17" s="12">
        <f>T17-Q17</f>
        <v/>
      </c>
      <c r="T17" s="12" t="n">
        <v>3</v>
      </c>
      <c r="U17" s="13">
        <f>T17/$D$17</f>
        <v/>
      </c>
      <c r="V17" s="8" t="inlineStr">
        <is>
          <t>Latest sales - Block T1: 1 units, Block T3: 2 units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P2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46" customWidth="1" min="16" max="16"/>
  </cols>
  <sheetData>
    <row r="2">
      <c r="A2" s="1" t="inlineStr">
        <is>
          <t>Report as at 08/10/2026</t>
        </is>
      </c>
    </row>
    <row r="3">
      <c r="A3" s="2" t="inlineStr">
        <is>
          <t>WEEKLY TEDUH SALES REPORT (MYRA)</t>
        </is>
      </c>
      <c r="G3" s="3" t="n">
        <v>46290</v>
      </c>
      <c r="J3" s="3" t="n">
        <v>46297</v>
      </c>
      <c r="M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6" t="inlineStr">
        <is>
          <t>NEW SALES</t>
        </is>
      </c>
      <c r="N4" s="6" t="inlineStr">
        <is>
          <t>TOTAL SOLD</t>
        </is>
      </c>
      <c r="O4" s="6" t="inlineStr">
        <is>
          <t>TOTAL %</t>
        </is>
      </c>
      <c r="P4" s="5" t="inlineStr">
        <is>
          <t>NOTES</t>
        </is>
      </c>
    </row>
    <row r="5">
      <c r="A5" s="7" t="n">
        <v>1</v>
      </c>
      <c r="B5" s="8" t="inlineStr">
        <is>
          <t>Putra Idaman @ Desa Pinggiran Putra</t>
        </is>
      </c>
      <c r="C5" s="9" t="n">
        <v>45524</v>
      </c>
      <c r="D5" s="10" t="n">
        <v>502</v>
      </c>
      <c r="E5" s="7" t="inlineStr">
        <is>
          <t>5534-32</t>
        </is>
      </c>
      <c r="F5" s="8" t="inlineStr">
        <is>
          <t>OIB PROPERTIES (CV) SDN. BHD.</t>
        </is>
      </c>
      <c r="G5" s="10" t="n"/>
      <c r="H5" s="10" t="n">
        <v>476</v>
      </c>
      <c r="I5" s="11">
        <f>H5/$D$5</f>
        <v/>
      </c>
      <c r="J5" s="10">
        <f>K5-H5</f>
        <v/>
      </c>
      <c r="K5" s="10" t="n">
        <v>476</v>
      </c>
      <c r="L5" s="11">
        <f>K5/$D$5</f>
        <v/>
      </c>
      <c r="M5" s="12">
        <f>N5-K5</f>
        <v/>
      </c>
      <c r="N5" s="12" t="n">
        <v>476</v>
      </c>
      <c r="O5" s="13">
        <f>N5/$D$5</f>
        <v/>
      </c>
      <c r="P5" s="8" t="inlineStr">
        <is>
          <t>Latest sales - Block A: 225 units, Block B: 251 units</t>
        </is>
      </c>
    </row>
    <row r="6">
      <c r="A6" s="7" t="n">
        <v>2</v>
      </c>
      <c r="B6" s="8" t="inlineStr">
        <is>
          <t>Myra Senja @ Subang 2</t>
        </is>
      </c>
      <c r="C6" s="9" t="n">
        <v>45814</v>
      </c>
      <c r="D6" s="10" t="n">
        <v>384</v>
      </c>
      <c r="E6" s="7" t="inlineStr">
        <is>
          <t>20164-3</t>
        </is>
      </c>
      <c r="F6" s="8" t="inlineStr">
        <is>
          <t>MYRA LAND SDN. BHD.</t>
        </is>
      </c>
      <c r="G6" s="10" t="n"/>
      <c r="H6" s="10" t="n">
        <v>93</v>
      </c>
      <c r="I6" s="11">
        <f>H6/$D$6</f>
        <v/>
      </c>
      <c r="J6" s="10">
        <f>K6-H6</f>
        <v/>
      </c>
      <c r="K6" s="10" t="n">
        <v>93</v>
      </c>
      <c r="L6" s="11">
        <f>K6/$D$6</f>
        <v/>
      </c>
      <c r="M6" s="12">
        <f>N6-K6</f>
        <v/>
      </c>
      <c r="N6" s="12" t="n">
        <v>96</v>
      </c>
      <c r="O6" s="13">
        <f>N6/$D$6</f>
        <v/>
      </c>
      <c r="P6" s="8" t="inlineStr">
        <is>
          <t>Latest sales - Block A: 1 units, Block B: 95 units</t>
        </is>
      </c>
    </row>
    <row r="7">
      <c r="A7" s="7" t="n">
        <v>3</v>
      </c>
      <c r="B7" s="8" t="inlineStr">
        <is>
          <t>Myra Tenuman @ Alam Impian</t>
        </is>
      </c>
      <c r="C7" s="9" t="n">
        <v>45888</v>
      </c>
      <c r="D7" s="10" t="n">
        <v>116</v>
      </c>
      <c r="E7" s="7" t="inlineStr">
        <is>
          <t>30962-1,30962-2</t>
        </is>
      </c>
      <c r="F7" s="8" t="inlineStr">
        <is>
          <t>TOTAL MAJORITY SDN. BHD.</t>
        </is>
      </c>
      <c r="G7" s="10" t="n"/>
      <c r="H7" s="10" t="n">
        <v>77</v>
      </c>
      <c r="I7" s="11">
        <f>H7/$D$7</f>
        <v/>
      </c>
      <c r="J7" s="10">
        <f>K7-H7</f>
        <v/>
      </c>
      <c r="K7" s="10" t="n">
        <v>78</v>
      </c>
      <c r="L7" s="11">
        <f>K7/$D$7</f>
        <v/>
      </c>
      <c r="M7" s="12">
        <f>N7-K7</f>
        <v/>
      </c>
      <c r="N7" s="12" t="n">
        <v>79</v>
      </c>
      <c r="O7" s="13">
        <f>N7/$D$7</f>
        <v/>
      </c>
      <c r="P7" s="8" t="inlineStr"/>
    </row>
    <row r="8">
      <c r="A8" s="7" t="n">
        <v>4</v>
      </c>
      <c r="B8" s="8" t="inlineStr">
        <is>
          <t>Saujana Idaman @ Dengkil</t>
        </is>
      </c>
      <c r="C8" s="9" t="n">
        <v>46278</v>
      </c>
      <c r="D8" s="10" t="n">
        <v>286</v>
      </c>
      <c r="E8" s="7" t="inlineStr">
        <is>
          <t>19355-8</t>
        </is>
      </c>
      <c r="F8" s="8" t="inlineStr">
        <is>
          <t>OIB PROPERTIES (PRV) SDN. BHD.</t>
        </is>
      </c>
      <c r="G8" s="10" t="n"/>
      <c r="H8" s="10" t="n">
        <v>0</v>
      </c>
      <c r="I8" s="11">
        <f>H8/$D$8</f>
        <v/>
      </c>
      <c r="J8" s="10">
        <f>K8-H8</f>
        <v/>
      </c>
      <c r="K8" s="10" t="n">
        <v>0</v>
      </c>
      <c r="L8" s="11">
        <f>K8/$D$8</f>
        <v/>
      </c>
      <c r="M8" s="12">
        <f>N8-K8</f>
        <v/>
      </c>
      <c r="N8" s="12" t="n">
        <v>0</v>
      </c>
      <c r="O8" s="13">
        <f>N8/$D$8</f>
        <v/>
      </c>
      <c r="P8" s="8" t="inlineStr"/>
    </row>
    <row r="9">
      <c r="A9" s="7" t="n">
        <v>5</v>
      </c>
      <c r="B9" s="8" t="inlineStr">
        <is>
          <t>Myra Embun @ Jenderam, Dengkil</t>
        </is>
      </c>
      <c r="C9" s="9" t="n">
        <v>46208</v>
      </c>
      <c r="D9" s="10" t="n">
        <v>594</v>
      </c>
      <c r="E9" s="7" t="inlineStr">
        <is>
          <t>19355-6,19355-7</t>
        </is>
      </c>
      <c r="F9" s="8" t="inlineStr">
        <is>
          <t>OIB PROPERTIES (PRV) SDN. BHD.</t>
        </is>
      </c>
      <c r="G9" s="10" t="n"/>
      <c r="H9" s="10" t="n">
        <v>85</v>
      </c>
      <c r="I9" s="11">
        <f>H9/$D$9</f>
        <v/>
      </c>
      <c r="J9" s="10">
        <f>K9-H9</f>
        <v/>
      </c>
      <c r="K9" s="10" t="n">
        <v>85</v>
      </c>
      <c r="L9" s="11">
        <f>K9/$D$9</f>
        <v/>
      </c>
      <c r="M9" s="12">
        <f>N9-K9</f>
        <v/>
      </c>
      <c r="N9" s="12" t="n">
        <v>85</v>
      </c>
      <c r="O9" s="13">
        <f>N9/$D$9</f>
        <v/>
      </c>
      <c r="P9" s="8" t="inlineStr">
        <is>
          <t>Latest sales - Block A: 85 units</t>
        </is>
      </c>
    </row>
    <row r="10">
      <c r="A10" s="7" t="n">
        <v>6</v>
      </c>
      <c r="B10" s="8" t="inlineStr">
        <is>
          <t>Myra Dahlia @ Salak Tinggi</t>
        </is>
      </c>
      <c r="C10" s="9" t="n">
        <v>45212</v>
      </c>
      <c r="D10" s="10" t="n">
        <v>480</v>
      </c>
      <c r="E10" s="7" t="inlineStr">
        <is>
          <t>4625-7</t>
        </is>
      </c>
      <c r="F10" s="8" t="inlineStr">
        <is>
          <t>MAXILUX PROPERTIES SDN BHD</t>
        </is>
      </c>
      <c r="G10" s="10" t="n"/>
      <c r="H10" s="10" t="n">
        <v>202</v>
      </c>
      <c r="I10" s="11">
        <f>H10/$D$10</f>
        <v/>
      </c>
      <c r="J10" s="10">
        <f>K10-H10</f>
        <v/>
      </c>
      <c r="K10" s="10" t="n">
        <v>204</v>
      </c>
      <c r="L10" s="11">
        <f>K10/$D$10</f>
        <v/>
      </c>
      <c r="M10" s="12">
        <f>N10-K10</f>
        <v/>
      </c>
      <c r="N10" s="12" t="n">
        <v>205</v>
      </c>
      <c r="O10" s="13">
        <f>N10/$D$10</f>
        <v/>
      </c>
      <c r="P10" s="8" t="inlineStr"/>
    </row>
    <row r="11">
      <c r="A11" s="7" t="n">
        <v>7</v>
      </c>
      <c r="B11" s="8" t="inlineStr">
        <is>
          <t>Myra Putri @ Desa Pinggiran Putra</t>
        </is>
      </c>
      <c r="C11" s="9" t="n">
        <v>45083</v>
      </c>
      <c r="D11" s="10" t="n">
        <v>310</v>
      </c>
      <c r="E11" s="7" t="inlineStr">
        <is>
          <t>5534-31</t>
        </is>
      </c>
      <c r="F11" s="8" t="inlineStr">
        <is>
          <t>OIB PROPERTIES (CV) SDN. BHD.</t>
        </is>
      </c>
      <c r="G11" s="10" t="n"/>
      <c r="H11" s="10" t="n">
        <v>303</v>
      </c>
      <c r="I11" s="11">
        <f>H11/$D$11</f>
        <v/>
      </c>
      <c r="J11" s="10">
        <f>K11-H11</f>
        <v/>
      </c>
      <c r="K11" s="10" t="n">
        <v>303</v>
      </c>
      <c r="L11" s="11">
        <f>K11/$D$11</f>
        <v/>
      </c>
      <c r="M11" s="12">
        <f>N11-K11</f>
        <v/>
      </c>
      <c r="N11" s="12" t="n">
        <v>303</v>
      </c>
      <c r="O11" s="13">
        <f>N11/$D$11</f>
        <v/>
      </c>
      <c r="P11" s="8" t="inlineStr">
        <is>
          <t>Latest sales - Block A: 148 units, Block B: 155 units</t>
        </is>
      </c>
    </row>
    <row r="12">
      <c r="A12" s="7" t="n">
        <v>8</v>
      </c>
      <c r="B12" s="8" t="inlineStr">
        <is>
          <t>Alea Residence @ Myra Alam, Puncak Alam</t>
        </is>
      </c>
      <c r="C12" s="9" t="n">
        <v>45807</v>
      </c>
      <c r="D12" s="10" t="n">
        <v>364</v>
      </c>
      <c r="E12" s="7" t="inlineStr">
        <is>
          <t>5534-30</t>
        </is>
      </c>
      <c r="F12" s="8" t="inlineStr">
        <is>
          <t>OIB PROPERTIES (CV) SDN. BHD.</t>
        </is>
      </c>
      <c r="G12" s="10" t="n"/>
      <c r="H12" s="10" t="n">
        <v>297</v>
      </c>
      <c r="I12" s="11">
        <f>H12/$D$12</f>
        <v/>
      </c>
      <c r="J12" s="10">
        <f>K12-H12</f>
        <v/>
      </c>
      <c r="K12" s="10" t="n">
        <v>297</v>
      </c>
      <c r="L12" s="11">
        <f>K12/$D$12</f>
        <v/>
      </c>
      <c r="M12" s="12">
        <f>N12-K12</f>
        <v/>
      </c>
      <c r="N12" s="12" t="n">
        <v>297</v>
      </c>
      <c r="O12" s="13">
        <f>N12/$D$12</f>
        <v/>
      </c>
      <c r="P12" s="8" t="inlineStr">
        <is>
          <t>Latest sales - Block A: 66 units, Block B: 70 units, Block C: 78 units, Block D: 83 units</t>
        </is>
      </c>
    </row>
    <row r="13">
      <c r="A13" s="7" t="n">
        <v>9</v>
      </c>
      <c r="B13" s="8" t="inlineStr">
        <is>
          <t>Myra Cove Ph2 @ Cyberjaya</t>
        </is>
      </c>
      <c r="C13" s="9" t="n">
        <v>45518</v>
      </c>
      <c r="D13" s="10" t="n">
        <v>421</v>
      </c>
      <c r="E13" s="7" t="inlineStr">
        <is>
          <t>20164-2</t>
        </is>
      </c>
      <c r="F13" s="8" t="inlineStr">
        <is>
          <t>MYRA LAND SDN. BHD.</t>
        </is>
      </c>
      <c r="G13" s="10" t="n"/>
      <c r="H13" s="10" t="n">
        <v>238</v>
      </c>
      <c r="I13" s="11">
        <f>H13/$D$13</f>
        <v/>
      </c>
      <c r="J13" s="10">
        <f>K13-H13</f>
        <v/>
      </c>
      <c r="K13" s="10" t="n">
        <v>238</v>
      </c>
      <c r="L13" s="11">
        <f>K13/$D$13</f>
        <v/>
      </c>
      <c r="M13" s="12">
        <f>N13-K13</f>
        <v/>
      </c>
      <c r="N13" s="12" t="n">
        <v>239</v>
      </c>
      <c r="O13" s="13">
        <f>N13/$D$13</f>
        <v/>
      </c>
      <c r="P13" s="8" t="inlineStr">
        <is>
          <t>Latest sales - Block B1: 160 units, Block B2: 7 units, Block B3: 29 units, Block B4: 20 units, Block B5: 23 units</t>
        </is>
      </c>
    </row>
    <row r="14">
      <c r="A14" s="7" t="n">
        <v>10</v>
      </c>
      <c r="B14" s="8" t="inlineStr">
        <is>
          <t>Myra Park @ Nilai Impian</t>
        </is>
      </c>
      <c r="C14" s="9" t="n">
        <v>45608</v>
      </c>
      <c r="D14" s="10" t="n">
        <v>322</v>
      </c>
      <c r="E14" s="7" t="inlineStr">
        <is>
          <t>7935-7</t>
        </is>
      </c>
      <c r="F14" s="8" t="inlineStr">
        <is>
          <t>SMART BUDGET ECONOMY SDN. BHD.</t>
        </is>
      </c>
      <c r="G14" s="10" t="n"/>
      <c r="H14" s="10" t="n">
        <v>261</v>
      </c>
      <c r="I14" s="11">
        <f>H14/$D$14</f>
        <v/>
      </c>
      <c r="J14" s="10">
        <f>K14-H14</f>
        <v/>
      </c>
      <c r="K14" s="10" t="n">
        <v>261</v>
      </c>
      <c r="L14" s="11">
        <f>K14/$D$14</f>
        <v/>
      </c>
      <c r="M14" s="12">
        <f>N14-K14</f>
        <v/>
      </c>
      <c r="N14" s="12" t="n">
        <v>261</v>
      </c>
      <c r="O14" s="13">
        <f>N14/$D$14</f>
        <v/>
      </c>
      <c r="P14" s="8" t="inlineStr">
        <is>
          <t>Latest sales - Block A: 235 units, Block B: 26 units</t>
        </is>
      </c>
    </row>
    <row r="15">
      <c r="A15" s="7" t="n">
        <v>11</v>
      </c>
      <c r="B15" s="8" t="inlineStr">
        <is>
          <t>Ara Residence @ Nilai Impian</t>
        </is>
      </c>
      <c r="C15" s="9" t="n">
        <v>45089</v>
      </c>
      <c r="D15" s="10" t="n">
        <v>224</v>
      </c>
      <c r="E15" s="7" t="inlineStr">
        <is>
          <t>7935-8</t>
        </is>
      </c>
      <c r="F15" s="8" t="inlineStr">
        <is>
          <t>SMART BUDGET ECONOMY SDN. BHD.</t>
        </is>
      </c>
      <c r="G15" s="10" t="n"/>
      <c r="H15" s="10" t="n">
        <v>216</v>
      </c>
      <c r="I15" s="11">
        <f>H15/$D$15</f>
        <v/>
      </c>
      <c r="J15" s="10">
        <f>K15-H15</f>
        <v/>
      </c>
      <c r="K15" s="10" t="n">
        <v>216</v>
      </c>
      <c r="L15" s="11">
        <f>K15/$D$15</f>
        <v/>
      </c>
      <c r="M15" s="12">
        <f>N15-K15</f>
        <v/>
      </c>
      <c r="N15" s="12" t="n">
        <v>216</v>
      </c>
      <c r="O15" s="13">
        <f>N15/$D$15</f>
        <v/>
      </c>
      <c r="P15" s="8" t="inlineStr">
        <is>
          <t>Latest sales - Block B: 216 units</t>
        </is>
      </c>
    </row>
    <row r="16">
      <c r="A16" s="7" t="n">
        <v>12</v>
      </c>
      <c r="B16" s="8" t="inlineStr">
        <is>
          <t>Myra Gardens Ph3 @ Sungai Buloh</t>
        </is>
      </c>
      <c r="C16" s="9" t="n">
        <v>45739</v>
      </c>
      <c r="D16" s="10" t="n">
        <v>91</v>
      </c>
      <c r="E16" s="7" t="inlineStr">
        <is>
          <t>20014-3</t>
        </is>
      </c>
      <c r="F16" s="8" t="inlineStr">
        <is>
          <t>MYRA GARDENS SDN. BHD.</t>
        </is>
      </c>
      <c r="G16" s="10" t="n"/>
      <c r="H16" s="10" t="n">
        <v>62</v>
      </c>
      <c r="I16" s="11">
        <f>H16/$D$16</f>
        <v/>
      </c>
      <c r="J16" s="10">
        <f>K16-H16</f>
        <v/>
      </c>
      <c r="K16" s="10" t="n">
        <v>62</v>
      </c>
      <c r="L16" s="11">
        <f>K16/$D$16</f>
        <v/>
      </c>
      <c r="M16" s="12">
        <f>N16-K16</f>
        <v/>
      </c>
      <c r="N16" s="12" t="n">
        <v>62</v>
      </c>
      <c r="O16" s="13">
        <f>N16/$D$16</f>
        <v/>
      </c>
      <c r="P16" s="8" t="inlineStr"/>
    </row>
    <row r="17">
      <c r="A17" s="7" t="n">
        <v>13</v>
      </c>
      <c r="B17" s="8" t="inlineStr">
        <is>
          <t>Myra Idaman @ Sungai Buloh</t>
        </is>
      </c>
      <c r="C17" s="9" t="n">
        <v>46138</v>
      </c>
      <c r="D17" s="10" t="n">
        <v>616</v>
      </c>
      <c r="E17" s="7" t="inlineStr">
        <is>
          <t>20014-4</t>
        </is>
      </c>
      <c r="F17" s="8" t="inlineStr">
        <is>
          <t>MYRA GARDENS SDN. BHD.</t>
        </is>
      </c>
      <c r="G17" s="10" t="n"/>
      <c r="H17" s="10" t="n">
        <v>63</v>
      </c>
      <c r="I17" s="11">
        <f>H17/$D$17</f>
        <v/>
      </c>
      <c r="J17" s="10">
        <f>K17-H17</f>
        <v/>
      </c>
      <c r="K17" s="10" t="n">
        <v>64</v>
      </c>
      <c r="L17" s="11">
        <f>K17/$D$17</f>
        <v/>
      </c>
      <c r="M17" s="12">
        <f>N17-K17</f>
        <v/>
      </c>
      <c r="N17" s="12" t="n">
        <v>66</v>
      </c>
      <c r="O17" s="13">
        <f>N17/$D$17</f>
        <v/>
      </c>
      <c r="P17" s="8" t="inlineStr">
        <is>
          <t>Latest sales - Block B: 66 units</t>
        </is>
      </c>
    </row>
    <row r="18">
      <c r="A18" s="7" t="n">
        <v>14</v>
      </c>
      <c r="B18" s="8" t="inlineStr">
        <is>
          <t>Myra Alam 2A @ Puncak Alam</t>
        </is>
      </c>
      <c r="C18" s="9" t="n">
        <v>44605</v>
      </c>
      <c r="D18" s="10" t="n">
        <v>52</v>
      </c>
      <c r="E18" s="7" t="inlineStr">
        <is>
          <t>5534-25</t>
        </is>
      </c>
      <c r="F18" s="8" t="inlineStr">
        <is>
          <t>OIB PROPERTIES (CV) SDN. BHD.</t>
        </is>
      </c>
      <c r="G18" s="10" t="n"/>
      <c r="H18" s="10" t="n">
        <v>46</v>
      </c>
      <c r="I18" s="11">
        <f>H18/$D$18</f>
        <v/>
      </c>
      <c r="J18" s="10">
        <f>K18-H18</f>
        <v/>
      </c>
      <c r="K18" s="10" t="n">
        <v>46</v>
      </c>
      <c r="L18" s="11">
        <f>K18/$D$18</f>
        <v/>
      </c>
      <c r="M18" s="12">
        <f>N18-K18</f>
        <v/>
      </c>
      <c r="N18" s="12" t="n">
        <v>46</v>
      </c>
      <c r="O18" s="13">
        <f>N18/$D$18</f>
        <v/>
      </c>
      <c r="P18" s="8" t="inlineStr"/>
    </row>
    <row r="19">
      <c r="A19" s="7" t="n">
        <v>15</v>
      </c>
      <c r="B19" s="8" t="inlineStr">
        <is>
          <t>Irina by Myra @ Puncak Alam</t>
        </is>
      </c>
      <c r="C19" s="9" t="n">
        <v>45219</v>
      </c>
      <c r="D19" s="10" t="n">
        <v>394</v>
      </c>
      <c r="E19" s="7" t="inlineStr">
        <is>
          <t>5534-27</t>
        </is>
      </c>
      <c r="F19" s="8" t="inlineStr">
        <is>
          <t>OIB PROPERTIES (CV) SDN. BHD.</t>
        </is>
      </c>
      <c r="G19" s="10" t="n"/>
      <c r="H19" s="10" t="n">
        <v>381</v>
      </c>
      <c r="I19" s="11">
        <f>H19/$D$19</f>
        <v/>
      </c>
      <c r="J19" s="10">
        <f>K19-H19</f>
        <v/>
      </c>
      <c r="K19" s="10" t="n">
        <v>381</v>
      </c>
      <c r="L19" s="11">
        <f>K19/$D$19</f>
        <v/>
      </c>
      <c r="M19" s="12">
        <f>N19-K19</f>
        <v/>
      </c>
      <c r="N19" s="12" t="n">
        <v>381</v>
      </c>
      <c r="O19" s="13">
        <f>N19/$D$19</f>
        <v/>
      </c>
      <c r="P19" s="8" t="inlineStr"/>
    </row>
    <row r="20">
      <c r="A20" s="7" t="n">
        <v>16</v>
      </c>
      <c r="B20" s="8" t="inlineStr">
        <is>
          <t>Taman Belia Antarabangsa 2E(iii) @ Melaka</t>
        </is>
      </c>
      <c r="C20" s="9" t="n">
        <v>45345</v>
      </c>
      <c r="D20" s="10" t="n">
        <v>32</v>
      </c>
      <c r="E20" s="7" t="inlineStr">
        <is>
          <t>5534-24</t>
        </is>
      </c>
      <c r="F20" s="8" t="inlineStr">
        <is>
          <t>OIB PROPERTIES (CV) SDN. BHD.</t>
        </is>
      </c>
      <c r="G20" s="10" t="n"/>
      <c r="H20" s="10" t="n">
        <v>27</v>
      </c>
      <c r="I20" s="11">
        <f>H20/$D$20</f>
        <v/>
      </c>
      <c r="J20" s="10">
        <f>K20-H20</f>
        <v/>
      </c>
      <c r="K20" s="10" t="n">
        <v>27</v>
      </c>
      <c r="L20" s="11">
        <f>K20/$D$20</f>
        <v/>
      </c>
      <c r="M20" s="12">
        <f>N20-K20</f>
        <v/>
      </c>
      <c r="N20" s="12" t="n">
        <v>27</v>
      </c>
      <c r="O20" s="13">
        <f>N20/$D$20</f>
        <v/>
      </c>
      <c r="P20" s="8" t="inlineStr"/>
    </row>
    <row r="21">
      <c r="A21" s="7" t="n">
        <v>17</v>
      </c>
      <c r="B21" s="8" t="inlineStr">
        <is>
          <t>Myra Saujana @ Dengkil</t>
        </is>
      </c>
      <c r="C21" s="9" t="n">
        <v>45026</v>
      </c>
      <c r="D21" s="10" t="n">
        <v>114</v>
      </c>
      <c r="E21" s="7" t="inlineStr">
        <is>
          <t>19355-3,19355-4,19355-5</t>
        </is>
      </c>
      <c r="F21" s="8" t="inlineStr">
        <is>
          <t>OIB PROPERTIES (PRV) SDN. BHD.</t>
        </is>
      </c>
      <c r="G21" s="10" t="n"/>
      <c r="H21" s="10" t="n">
        <v>78</v>
      </c>
      <c r="I21" s="11">
        <f>H21/$D$21</f>
        <v/>
      </c>
      <c r="J21" s="10">
        <f>K21-H21</f>
        <v/>
      </c>
      <c r="K21" s="10" t="n">
        <v>78</v>
      </c>
      <c r="L21" s="11">
        <f>K21/$D$21</f>
        <v/>
      </c>
      <c r="M21" s="12">
        <f>N21-K21</f>
        <v/>
      </c>
      <c r="N21" s="12" t="n">
        <v>79</v>
      </c>
      <c r="O21" s="13">
        <f>N21/$D$21</f>
        <v/>
      </c>
      <c r="P21" s="8" t="inlineStr"/>
    </row>
    <row r="22">
      <c r="A22" s="7" t="n">
        <v>18</v>
      </c>
      <c r="B22" s="8" t="inlineStr">
        <is>
          <t>Myra Yara</t>
        </is>
      </c>
      <c r="C22" s="9" t="n">
        <v>46246</v>
      </c>
      <c r="D22" s="10" t="n">
        <v>219</v>
      </c>
      <c r="E22" s="7" t="inlineStr">
        <is>
          <t>7935-9</t>
        </is>
      </c>
      <c r="F22" s="8" t="inlineStr">
        <is>
          <t>SMART BUDGET ECONOMY SDN. BHD.</t>
        </is>
      </c>
      <c r="G22" s="10" t="n"/>
      <c r="H22" s="10" t="n">
        <v>0</v>
      </c>
      <c r="I22" s="11">
        <f>H22/$D$22</f>
        <v/>
      </c>
      <c r="J22" s="10">
        <f>K22-H22</f>
        <v/>
      </c>
      <c r="K22" s="10" t="n">
        <v>0</v>
      </c>
      <c r="L22" s="11">
        <f>K22/$D$22</f>
        <v/>
      </c>
      <c r="M22" s="12">
        <f>N22-K22</f>
        <v/>
      </c>
      <c r="N22" s="12" t="n">
        <v>0</v>
      </c>
      <c r="O22" s="13">
        <f>N22/$D$22</f>
        <v/>
      </c>
      <c r="P22" s="8" t="inlineStr"/>
    </row>
    <row r="23">
      <c r="A23" s="7" t="n">
        <v>19</v>
      </c>
      <c r="B23" s="8" t="inlineStr">
        <is>
          <t>Taman Dahlia (Dahlia 31) @ Salak Tinggi</t>
        </is>
      </c>
      <c r="C23" s="9" t="n">
        <v>46195</v>
      </c>
      <c r="D23" s="10" t="n">
        <v>31</v>
      </c>
      <c r="E23" s="7" t="inlineStr">
        <is>
          <t>4625-8</t>
        </is>
      </c>
      <c r="F23" s="8" t="inlineStr">
        <is>
          <t>MAXILUX PROPERTIES SDN BHD</t>
        </is>
      </c>
      <c r="G23" s="10" t="n"/>
      <c r="H23" s="10" t="n">
        <v>0</v>
      </c>
      <c r="I23" s="11">
        <f>H23/$D$23</f>
        <v/>
      </c>
      <c r="J23" s="10">
        <f>K23-H23</f>
        <v/>
      </c>
      <c r="K23" s="10" t="n">
        <v>0</v>
      </c>
      <c r="L23" s="11">
        <f>K23/$D$23</f>
        <v/>
      </c>
      <c r="M23" s="12">
        <f>N23-K23</f>
        <v/>
      </c>
      <c r="N23" s="12" t="n">
        <v>0</v>
      </c>
      <c r="O23" s="13">
        <f>N23/$D$23</f>
        <v/>
      </c>
      <c r="P23" s="8" t="inlineStr"/>
    </row>
    <row r="24">
      <c r="A24" s="7" t="n">
        <v>20</v>
      </c>
      <c r="B24" s="8" t="inlineStr">
        <is>
          <t>TAMAN BELIMBING</t>
        </is>
      </c>
      <c r="C24" s="9" t="n">
        <v>46296</v>
      </c>
      <c r="D24" s="10" t="n">
        <v>14</v>
      </c>
      <c r="E24" s="7" t="inlineStr">
        <is>
          <t>7935-10</t>
        </is>
      </c>
      <c r="F24" s="8" t="inlineStr">
        <is>
          <t>SMART BUDGET ECONOMY SDN. BHD.</t>
        </is>
      </c>
      <c r="G24" s="10" t="n"/>
      <c r="H24" s="10" t="n"/>
      <c r="I24" s="11" t="n"/>
      <c r="J24" s="10" t="n"/>
      <c r="K24" s="10" t="n">
        <v>0</v>
      </c>
      <c r="L24" s="11">
        <f>K24/$D$24</f>
        <v/>
      </c>
      <c r="M24" s="12">
        <f>N24-K24</f>
        <v/>
      </c>
      <c r="N24" s="12" t="n">
        <v>0</v>
      </c>
      <c r="O24" s="13">
        <f>N24/$D$24</f>
        <v/>
      </c>
      <c r="P24" s="8" t="inlineStr"/>
    </row>
  </sheetData>
  <mergeCells count="3">
    <mergeCell ref="J3:L3"/>
    <mergeCell ref="G3:I3"/>
    <mergeCell ref="M3:O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(PLATINUM VICTORY)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MHP3 Residences</t>
        </is>
      </c>
      <c r="C5" s="9" t="n">
        <v>45270</v>
      </c>
      <c r="D5" s="10" t="n">
        <v>1688</v>
      </c>
      <c r="E5" s="7" t="inlineStr">
        <is>
          <t>30581-1</t>
        </is>
      </c>
      <c r="F5" s="8" t="inlineStr">
        <is>
          <t>MHP3 SDN. BHD.</t>
        </is>
      </c>
      <c r="G5" s="10" t="n"/>
      <c r="H5" s="10" t="n">
        <v>1672</v>
      </c>
      <c r="I5" s="11">
        <f>H5/$D$5</f>
        <v/>
      </c>
      <c r="J5" s="10">
        <f>K5-H5</f>
        <v/>
      </c>
      <c r="K5" s="10" t="n">
        <v>1674</v>
      </c>
      <c r="L5" s="11">
        <f>K5/$D$5</f>
        <v/>
      </c>
      <c r="M5" s="10">
        <f>N5-K5</f>
        <v/>
      </c>
      <c r="N5" s="10" t="n">
        <v>1679</v>
      </c>
      <c r="O5" s="11">
        <f>N5/$D$5</f>
        <v/>
      </c>
      <c r="P5" s="10">
        <f>Q5-N5</f>
        <v/>
      </c>
      <c r="Q5" s="10" t="n">
        <v>1681</v>
      </c>
      <c r="R5" s="11">
        <f>Q5/$D$5</f>
        <v/>
      </c>
      <c r="S5" s="10">
        <f>T5-Q5</f>
        <v/>
      </c>
      <c r="T5" s="10" t="n">
        <v>1683</v>
      </c>
      <c r="U5" s="11">
        <f>T5/$D$5</f>
        <v/>
      </c>
      <c r="V5" s="12">
        <f>W5-T5</f>
        <v/>
      </c>
      <c r="W5" s="12" t="n">
        <v>1686</v>
      </c>
      <c r="X5" s="13">
        <f>W5/$D$5</f>
        <v/>
      </c>
      <c r="Y5" s="8" t="inlineStr">
        <is>
          <t>Latest sales - Block A: 875 units, Block B: 811 units</t>
        </is>
      </c>
    </row>
    <row r="6">
      <c r="A6" s="7" t="n">
        <v>2</v>
      </c>
      <c r="B6" s="8" t="inlineStr">
        <is>
          <t>PV22 Residences</t>
        </is>
      </c>
      <c r="C6" s="9" t="n">
        <v>45334</v>
      </c>
      <c r="D6" s="10" t="n">
        <v>2082</v>
      </c>
      <c r="E6" s="7" t="inlineStr">
        <is>
          <t>9832-11</t>
        </is>
      </c>
      <c r="F6" s="8" t="inlineStr">
        <is>
          <t>PLATINUM VICTORY DEVELOPMENT SDN. BHD.</t>
        </is>
      </c>
      <c r="G6" s="10" t="n"/>
      <c r="H6" s="10" t="n">
        <v>1206</v>
      </c>
      <c r="I6" s="11">
        <f>H6/$D$6</f>
        <v/>
      </c>
      <c r="J6" s="10">
        <f>K6-H6</f>
        <v/>
      </c>
      <c r="K6" s="10" t="n">
        <v>1218</v>
      </c>
      <c r="L6" s="11">
        <f>K6/$D$6</f>
        <v/>
      </c>
      <c r="M6" s="10">
        <f>N6-K6</f>
        <v/>
      </c>
      <c r="N6" s="10" t="n">
        <v>1223</v>
      </c>
      <c r="O6" s="11">
        <f>N6/$D$6</f>
        <v/>
      </c>
      <c r="P6" s="10">
        <f>Q6-N6</f>
        <v/>
      </c>
      <c r="Q6" s="10" t="n">
        <v>1231</v>
      </c>
      <c r="R6" s="11">
        <f>Q6/$D$6</f>
        <v/>
      </c>
      <c r="S6" s="10">
        <f>T6-Q6</f>
        <v/>
      </c>
      <c r="T6" s="10" t="n">
        <v>1237</v>
      </c>
      <c r="U6" s="11">
        <f>T6/$D$6</f>
        <v/>
      </c>
      <c r="V6" s="12">
        <f>W6-T6</f>
        <v/>
      </c>
      <c r="W6" s="12" t="n">
        <v>1240</v>
      </c>
      <c r="X6" s="13">
        <f>W6/$D$6</f>
        <v/>
      </c>
      <c r="Y6" s="8" t="inlineStr">
        <is>
          <t>Latest sales - Block A: 482 units, Block B: 758 units</t>
        </is>
      </c>
    </row>
    <row r="7">
      <c r="A7" s="7" t="n">
        <v>3</v>
      </c>
      <c r="B7" s="8" t="inlineStr">
        <is>
          <t>Platinum Melati Residences (Vista Melati)</t>
        </is>
      </c>
      <c r="C7" s="9" t="n">
        <v>45827</v>
      </c>
      <c r="D7" s="10" t="n">
        <v>794</v>
      </c>
      <c r="E7" s="7" t="inlineStr">
        <is>
          <t>31008-1</t>
        </is>
      </c>
      <c r="F7" s="8" t="inlineStr">
        <is>
          <t>SMART ADVANCE RESOURCES SDN. BHD.</t>
        </is>
      </c>
      <c r="G7" s="10" t="n"/>
      <c r="H7" s="10" t="n">
        <v>524</v>
      </c>
      <c r="I7" s="11">
        <f>H7/$D$7</f>
        <v/>
      </c>
      <c r="J7" s="10">
        <f>K7-H7</f>
        <v/>
      </c>
      <c r="K7" s="10" t="n">
        <v>527</v>
      </c>
      <c r="L7" s="11">
        <f>K7/$D$7</f>
        <v/>
      </c>
      <c r="M7" s="10">
        <f>N7-K7</f>
        <v/>
      </c>
      <c r="N7" s="10" t="n">
        <v>529</v>
      </c>
      <c r="O7" s="11">
        <f>N7/$D$7</f>
        <v/>
      </c>
      <c r="P7" s="10">
        <f>Q7-N7</f>
        <v/>
      </c>
      <c r="Q7" s="10" t="n">
        <v>534</v>
      </c>
      <c r="R7" s="11">
        <f>Q7/$D$7</f>
        <v/>
      </c>
      <c r="S7" s="10">
        <f>T7-Q7</f>
        <v/>
      </c>
      <c r="T7" s="10" t="n">
        <v>535</v>
      </c>
      <c r="U7" s="11">
        <f>T7/$D$7</f>
        <v/>
      </c>
      <c r="V7" s="12">
        <f>W7-T7</f>
        <v/>
      </c>
      <c r="W7" s="12" t="n">
        <v>536</v>
      </c>
      <c r="X7" s="13">
        <f>W7/$D$7</f>
        <v/>
      </c>
      <c r="Y7" s="8" t="inlineStr">
        <is>
          <t>Latest sales - Block A: 131 units, Block B: 172 units, Block C: 233 units</t>
        </is>
      </c>
    </row>
    <row r="8">
      <c r="A8" s="7" t="n">
        <v>4</v>
      </c>
      <c r="B8" s="8" t="inlineStr">
        <is>
          <t>PSV1 Residences</t>
        </is>
      </c>
      <c r="C8" s="9" t="n">
        <v>44869</v>
      </c>
      <c r="D8" s="10" t="n">
        <v>500</v>
      </c>
      <c r="E8" s="7" t="inlineStr">
        <is>
          <t>20253-2</t>
        </is>
      </c>
      <c r="F8" s="8" t="inlineStr"/>
      <c r="G8" s="10" t="n"/>
      <c r="H8" s="10" t="n">
        <v>467</v>
      </c>
      <c r="I8" s="11">
        <f>H8/$D$8</f>
        <v/>
      </c>
      <c r="J8" s="10">
        <f>K8-H8</f>
        <v/>
      </c>
      <c r="K8" s="10" t="n">
        <v>467</v>
      </c>
      <c r="L8" s="11">
        <f>K8/$D$8</f>
        <v/>
      </c>
      <c r="M8" s="10">
        <f>N8-K8</f>
        <v/>
      </c>
      <c r="N8" s="10" t="n">
        <v>467</v>
      </c>
      <c r="O8" s="11">
        <f>N8/$D$8</f>
        <v/>
      </c>
      <c r="P8" s="10">
        <f>Q8-N8</f>
        <v/>
      </c>
      <c r="Q8" s="10" t="n">
        <v>467</v>
      </c>
      <c r="R8" s="11">
        <f>Q8/$D$8</f>
        <v/>
      </c>
      <c r="S8" s="10">
        <f>T8-Q8</f>
        <v/>
      </c>
      <c r="T8" s="10" t="n">
        <v>467</v>
      </c>
      <c r="U8" s="11">
        <f>T8/$D$8</f>
        <v/>
      </c>
      <c r="V8" s="12">
        <f>W8-T8</f>
        <v/>
      </c>
      <c r="W8" s="12" t="n">
        <v>467</v>
      </c>
      <c r="X8" s="13">
        <f>W8/$D$8</f>
        <v/>
      </c>
      <c r="Y8" s="8" t="inlineStr"/>
    </row>
    <row r="9">
      <c r="A9" s="7" t="n">
        <v>5</v>
      </c>
      <c r="B9" s="8" t="inlineStr">
        <is>
          <t>PSV2 Residences</t>
        </is>
      </c>
      <c r="C9" s="9" t="n">
        <v>45610</v>
      </c>
      <c r="D9" s="10" t="n">
        <v>1500</v>
      </c>
      <c r="E9" s="7" t="inlineStr">
        <is>
          <t>20253-3</t>
        </is>
      </c>
      <c r="F9" s="8" t="inlineStr"/>
      <c r="G9" s="10" t="n"/>
      <c r="H9" s="10" t="n">
        <v>1163</v>
      </c>
      <c r="I9" s="11">
        <f>H9/$D$9</f>
        <v/>
      </c>
      <c r="J9" s="10">
        <f>K9-H9</f>
        <v/>
      </c>
      <c r="K9" s="10" t="n">
        <v>1169</v>
      </c>
      <c r="L9" s="11">
        <f>K9/$D$9</f>
        <v/>
      </c>
      <c r="M9" s="10">
        <f>N9-K9</f>
        <v/>
      </c>
      <c r="N9" s="10" t="n">
        <v>1173</v>
      </c>
      <c r="O9" s="11">
        <f>N9/$D$9</f>
        <v/>
      </c>
      <c r="P9" s="10">
        <f>Q9-N9</f>
        <v/>
      </c>
      <c r="Q9" s="10" t="n">
        <v>1179</v>
      </c>
      <c r="R9" s="11">
        <f>Q9/$D$9</f>
        <v/>
      </c>
      <c r="S9" s="10">
        <f>T9-Q9</f>
        <v/>
      </c>
      <c r="T9" s="10" t="n">
        <v>1186</v>
      </c>
      <c r="U9" s="11">
        <f>T9/$D$9</f>
        <v/>
      </c>
      <c r="V9" s="12">
        <f>W9-T9</f>
        <v/>
      </c>
      <c r="W9" s="12" t="n">
        <v>1189</v>
      </c>
      <c r="X9" s="13">
        <f>W9/$D$9</f>
        <v/>
      </c>
      <c r="Y9" s="8" t="inlineStr">
        <is>
          <t>Latest sales - Block W: 611 units, Block X: 578 units</t>
        </is>
      </c>
    </row>
    <row r="10">
      <c r="A10" s="7" t="n">
        <v>6</v>
      </c>
      <c r="B10" s="8" t="inlineStr">
        <is>
          <t>The Maison 23</t>
        </is>
      </c>
      <c r="C10" s="9" t="n">
        <v>45714</v>
      </c>
      <c r="D10" s="10" t="n">
        <v>23</v>
      </c>
      <c r="E10" s="7" t="inlineStr">
        <is>
          <t>30937-1</t>
        </is>
      </c>
      <c r="F10" s="8" t="inlineStr"/>
      <c r="G10" s="10" t="n"/>
      <c r="H10" s="10" t="n">
        <v>18</v>
      </c>
      <c r="I10" s="11">
        <f>H10/$D$10</f>
        <v/>
      </c>
      <c r="J10" s="10">
        <f>K10-H10</f>
        <v/>
      </c>
      <c r="K10" s="10" t="n">
        <v>18</v>
      </c>
      <c r="L10" s="11">
        <f>K10/$D$10</f>
        <v/>
      </c>
      <c r="M10" s="10">
        <f>N10-K10</f>
        <v/>
      </c>
      <c r="N10" s="10" t="n">
        <v>18</v>
      </c>
      <c r="O10" s="11">
        <f>N10/$D$10</f>
        <v/>
      </c>
      <c r="P10" s="10">
        <f>Q10-N10</f>
        <v/>
      </c>
      <c r="Q10" s="10" t="n">
        <v>18</v>
      </c>
      <c r="R10" s="11">
        <f>Q10/$D$10</f>
        <v/>
      </c>
      <c r="S10" s="10">
        <f>T10-Q10</f>
        <v/>
      </c>
      <c r="T10" s="10" t="n">
        <v>18</v>
      </c>
      <c r="U10" s="11">
        <f>T10/$D$10</f>
        <v/>
      </c>
      <c r="V10" s="12">
        <f>W10-T10</f>
        <v/>
      </c>
      <c r="W10" s="12" t="n">
        <v>18</v>
      </c>
      <c r="X10" s="13">
        <f>W10/$D$10</f>
        <v/>
      </c>
      <c r="Y10" s="8" t="inlineStr"/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Y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(RADIUM)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Radium Adesa @ KL (incl. Adesa Luxe Residences)</t>
        </is>
      </c>
      <c r="C5" s="9" t="n">
        <v>45100</v>
      </c>
      <c r="D5" s="10" t="n">
        <v>1218</v>
      </c>
      <c r="E5" s="7" t="inlineStr">
        <is>
          <t>30363-2</t>
        </is>
      </c>
      <c r="F5" s="8" t="inlineStr">
        <is>
          <t>FITRAH RESOURCES SDN. BHD.</t>
        </is>
      </c>
      <c r="G5" s="10" t="n"/>
      <c r="H5" s="10" t="n">
        <v>1128</v>
      </c>
      <c r="I5" s="11">
        <f>H5/$D$5</f>
        <v/>
      </c>
      <c r="J5" s="10">
        <f>K5-H5</f>
        <v/>
      </c>
      <c r="K5" s="10" t="n">
        <v>1130</v>
      </c>
      <c r="L5" s="11">
        <f>K5/$D$5</f>
        <v/>
      </c>
      <c r="M5" s="10">
        <f>N5-K5</f>
        <v/>
      </c>
      <c r="N5" s="10" t="n">
        <v>1132</v>
      </c>
      <c r="O5" s="11">
        <f>N5/$D$5</f>
        <v/>
      </c>
      <c r="P5" s="10">
        <f>Q5-N5</f>
        <v/>
      </c>
      <c r="Q5" s="10" t="n">
        <v>1132</v>
      </c>
      <c r="R5" s="11">
        <f>Q5/$D$5</f>
        <v/>
      </c>
      <c r="S5" s="10">
        <f>T5-Q5</f>
        <v/>
      </c>
      <c r="T5" s="10" t="n">
        <v>1130</v>
      </c>
      <c r="U5" s="11">
        <f>T5/$D$5</f>
        <v/>
      </c>
      <c r="V5" s="12">
        <f>W5-T5</f>
        <v/>
      </c>
      <c r="W5" s="12" t="n">
        <v>1132</v>
      </c>
      <c r="X5" s="13">
        <f>W5/$D$5</f>
        <v/>
      </c>
      <c r="Y5" s="8" t="inlineStr">
        <is>
          <t>Latest sales - Block A: 182 units, Block B: 585 units, Block C: 365 units</t>
        </is>
      </c>
    </row>
    <row r="6">
      <c r="A6" s="7" t="n">
        <v>2</v>
      </c>
      <c r="B6" s="8" t="inlineStr">
        <is>
          <t>Vista Adesa @ KL</t>
        </is>
      </c>
      <c r="C6" s="9" t="n">
        <v>45054</v>
      </c>
      <c r="D6" s="10" t="n">
        <v>1218</v>
      </c>
      <c r="E6" s="7" t="inlineStr">
        <is>
          <t>30363-1</t>
        </is>
      </c>
      <c r="F6" s="8" t="inlineStr">
        <is>
          <t>FITRAH RESOURCES SDN. BHD.</t>
        </is>
      </c>
      <c r="G6" s="10" t="n"/>
      <c r="H6" s="10" t="n">
        <v>1124</v>
      </c>
      <c r="I6" s="11">
        <f>H6/$D$6</f>
        <v/>
      </c>
      <c r="J6" s="10">
        <f>K6-H6</f>
        <v/>
      </c>
      <c r="K6" s="10" t="n">
        <v>1130</v>
      </c>
      <c r="L6" s="11">
        <f>K6/$D$6</f>
        <v/>
      </c>
      <c r="M6" s="10">
        <f>N6-K6</f>
        <v/>
      </c>
      <c r="N6" s="10" t="n">
        <v>1133</v>
      </c>
      <c r="O6" s="11">
        <f>N6/$D$6</f>
        <v/>
      </c>
      <c r="P6" s="10">
        <f>Q6-N6</f>
        <v/>
      </c>
      <c r="Q6" s="10" t="n">
        <v>1133</v>
      </c>
      <c r="R6" s="11">
        <f>Q6/$D$6</f>
        <v/>
      </c>
      <c r="S6" s="10">
        <f>T6-Q6</f>
        <v/>
      </c>
      <c r="T6" s="10" t="n">
        <v>1134</v>
      </c>
      <c r="U6" s="11">
        <f>T6/$D$6</f>
        <v/>
      </c>
      <c r="V6" s="12">
        <f>W6-T6</f>
        <v/>
      </c>
      <c r="W6" s="12" t="n">
        <v>1144</v>
      </c>
      <c r="X6" s="13">
        <f>W6/$D$6</f>
        <v/>
      </c>
      <c r="Y6" s="8" t="inlineStr">
        <is>
          <t>Latest sales - Block D: 605 units, Block E: 539 units</t>
        </is>
      </c>
    </row>
    <row r="7">
      <c r="A7" s="7" t="n">
        <v>3</v>
      </c>
      <c r="B7" s="8" t="inlineStr">
        <is>
          <t>Radium Arena @ Old Klang Road</t>
        </is>
      </c>
      <c r="C7" s="9" t="n">
        <v>45590</v>
      </c>
      <c r="D7" s="10" t="n">
        <v>988</v>
      </c>
      <c r="E7" s="7" t="inlineStr">
        <is>
          <t>30821-1</t>
        </is>
      </c>
      <c r="F7" s="8" t="inlineStr">
        <is>
          <t>RADIUM GLOBAL SDN. BHD.</t>
        </is>
      </c>
      <c r="G7" s="10" t="n"/>
      <c r="H7" s="10" t="n">
        <v>521</v>
      </c>
      <c r="I7" s="11">
        <f>H7/$D$7</f>
        <v/>
      </c>
      <c r="J7" s="10">
        <f>K7-H7</f>
        <v/>
      </c>
      <c r="K7" s="10" t="n">
        <v>525</v>
      </c>
      <c r="L7" s="11">
        <f>K7/$D$7</f>
        <v/>
      </c>
      <c r="M7" s="10">
        <f>N7-K7</f>
        <v/>
      </c>
      <c r="N7" s="10" t="n">
        <v>530</v>
      </c>
      <c r="O7" s="11">
        <f>N7/$D$7</f>
        <v/>
      </c>
      <c r="P7" s="10">
        <f>Q7-N7</f>
        <v/>
      </c>
      <c r="Q7" s="10" t="n">
        <v>535</v>
      </c>
      <c r="R7" s="11">
        <f>Q7/$D$7</f>
        <v/>
      </c>
      <c r="S7" s="10">
        <f>T7-Q7</f>
        <v/>
      </c>
      <c r="T7" s="10" t="n">
        <v>552</v>
      </c>
      <c r="U7" s="11">
        <f>T7/$D$7</f>
        <v/>
      </c>
      <c r="V7" s="12">
        <f>W7-T7</f>
        <v/>
      </c>
      <c r="W7" s="12" t="n">
        <v>565</v>
      </c>
      <c r="X7" s="13">
        <f>W7/$D$7</f>
        <v/>
      </c>
      <c r="Y7" s="8" t="inlineStr">
        <is>
          <t>Latest sales - Block A: 279 units, Block B: 286 units</t>
        </is>
      </c>
    </row>
    <row r="8">
      <c r="A8" s="7" t="n">
        <v>4</v>
      </c>
      <c r="B8" s="8" t="inlineStr">
        <is>
          <t>Chancery Ampang @ KL</t>
        </is>
      </c>
      <c r="C8" s="9" t="n">
        <v>44880</v>
      </c>
      <c r="D8" s="10" t="n">
        <v>944</v>
      </c>
      <c r="E8" s="7" t="inlineStr">
        <is>
          <t>30121-1</t>
        </is>
      </c>
      <c r="F8" s="8" t="inlineStr">
        <is>
          <t>IDAMAN SEJIWA (AMPANG) SDN. BHD.</t>
        </is>
      </c>
      <c r="G8" s="10" t="n"/>
      <c r="H8" s="10" t="n">
        <v>380</v>
      </c>
      <c r="I8" s="11">
        <f>H8/$D$8</f>
        <v/>
      </c>
      <c r="J8" s="10">
        <f>K8-H8</f>
        <v/>
      </c>
      <c r="K8" s="10" t="n">
        <v>383</v>
      </c>
      <c r="L8" s="11">
        <f>K8/$D$8</f>
        <v/>
      </c>
      <c r="M8" s="10">
        <f>N8-K8</f>
        <v/>
      </c>
      <c r="N8" s="10" t="n">
        <v>383</v>
      </c>
      <c r="O8" s="11">
        <f>N8/$D$8</f>
        <v/>
      </c>
      <c r="P8" s="10">
        <f>Q8-N8</f>
        <v/>
      </c>
      <c r="Q8" s="10" t="n">
        <v>383</v>
      </c>
      <c r="R8" s="11">
        <f>Q8/$D$8</f>
        <v/>
      </c>
      <c r="S8" s="10">
        <f>T8-Q8</f>
        <v/>
      </c>
      <c r="T8" s="10" t="n">
        <v>383</v>
      </c>
      <c r="U8" s="11">
        <f>T8/$D$8</f>
        <v/>
      </c>
      <c r="V8" s="12">
        <f>W8-T8</f>
        <v/>
      </c>
      <c r="W8" s="12" t="n">
        <v>386</v>
      </c>
      <c r="X8" s="13">
        <f>W8/$D$8</f>
        <v/>
      </c>
      <c r="Y8" s="8" t="inlineStr"/>
    </row>
    <row r="9">
      <c r="A9" s="7" t="n">
        <v>5</v>
      </c>
      <c r="B9" s="8" t="inlineStr">
        <is>
          <t>Radium Evara</t>
        </is>
      </c>
      <c r="C9" s="9" t="n">
        <v>46227</v>
      </c>
      <c r="D9" s="10" t="n">
        <v>797</v>
      </c>
      <c r="E9" s="7" t="inlineStr">
        <is>
          <t>31310-1</t>
        </is>
      </c>
      <c r="F9" s="8" t="inlineStr">
        <is>
          <t>RASA WANGI DEVELOPMENT SDN. BHD.</t>
        </is>
      </c>
      <c r="G9" s="10" t="n"/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6</v>
      </c>
      <c r="O9" s="11">
        <f>N9/$D$9</f>
        <v/>
      </c>
      <c r="P9" s="10">
        <f>Q9-N9</f>
        <v/>
      </c>
      <c r="Q9" s="10" t="n">
        <v>13</v>
      </c>
      <c r="R9" s="11">
        <f>Q9/$D$9</f>
        <v/>
      </c>
      <c r="S9" s="10">
        <f>T9-Q9</f>
        <v/>
      </c>
      <c r="T9" s="10" t="n">
        <v>18</v>
      </c>
      <c r="U9" s="11">
        <f>T9/$D$9</f>
        <v/>
      </c>
      <c r="V9" s="12">
        <f>W9-T9</f>
        <v/>
      </c>
      <c r="W9" s="12" t="n">
        <v>35</v>
      </c>
      <c r="X9" s="13">
        <f>W9/$D$9</f>
        <v/>
      </c>
      <c r="Y9" s="8" t="inlineStr">
        <is>
          <t>Latest sales - Block A: 24 units, Block B: 11 units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V9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(SCIENTEX)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Orchid II</t>
        </is>
      </c>
      <c r="C5" s="9" t="n">
        <v>45432</v>
      </c>
      <c r="D5" s="10" t="n">
        <v>204</v>
      </c>
      <c r="E5" s="7" t="inlineStr">
        <is>
          <t>11295-22</t>
        </is>
      </c>
      <c r="F5" s="8" t="inlineStr">
        <is>
          <t>SCIENTEX (SKUDAI) SDN. BHD.</t>
        </is>
      </c>
      <c r="G5" s="10" t="n"/>
      <c r="H5" s="10" t="n">
        <v>203</v>
      </c>
      <c r="I5" s="11">
        <f>H5/$D$5</f>
        <v/>
      </c>
      <c r="J5" s="10">
        <f>K5-H5</f>
        <v/>
      </c>
      <c r="K5" s="10" t="n">
        <v>203</v>
      </c>
      <c r="L5" s="11">
        <f>K5/$D$5</f>
        <v/>
      </c>
      <c r="M5" s="10">
        <f>N5-K5</f>
        <v/>
      </c>
      <c r="N5" s="10" t="n">
        <v>203</v>
      </c>
      <c r="O5" s="11">
        <f>N5/$D$5</f>
        <v/>
      </c>
      <c r="P5" s="10">
        <f>Q5-N5</f>
        <v/>
      </c>
      <c r="Q5" s="10" t="n">
        <v>203</v>
      </c>
      <c r="R5" s="11">
        <f>Q5/$D$5</f>
        <v/>
      </c>
      <c r="S5" s="12">
        <f>T5-Q5</f>
        <v/>
      </c>
      <c r="T5" s="12" t="n">
        <v>203</v>
      </c>
      <c r="U5" s="13">
        <f>T5/$D$5</f>
        <v/>
      </c>
      <c r="V5" s="8" t="inlineStr"/>
    </row>
    <row r="6">
      <c r="A6" s="7" t="n">
        <v>2</v>
      </c>
      <c r="B6" s="8" t="inlineStr">
        <is>
          <t>Lavender IV</t>
        </is>
      </c>
      <c r="C6" s="9" t="n">
        <v>45457</v>
      </c>
      <c r="D6" s="10" t="n">
        <v>291</v>
      </c>
      <c r="E6" s="7" t="inlineStr">
        <is>
          <t>11295-23</t>
        </is>
      </c>
      <c r="F6" s="8" t="inlineStr">
        <is>
          <t>SCIENTEX (SKUDAI) SDN. BHD.</t>
        </is>
      </c>
      <c r="G6" s="10" t="n"/>
      <c r="H6" s="10" t="n">
        <v>291</v>
      </c>
      <c r="I6" s="11">
        <f>H6/$D$6</f>
        <v/>
      </c>
      <c r="J6" s="10">
        <f>K6-H6</f>
        <v/>
      </c>
      <c r="K6" s="10" t="n">
        <v>291</v>
      </c>
      <c r="L6" s="11">
        <f>K6/$D$6</f>
        <v/>
      </c>
      <c r="M6" s="10">
        <f>N6-K6</f>
        <v/>
      </c>
      <c r="N6" s="10" t="n">
        <v>291</v>
      </c>
      <c r="O6" s="11">
        <f>N6/$D$6</f>
        <v/>
      </c>
      <c r="P6" s="10">
        <f>Q6-N6</f>
        <v/>
      </c>
      <c r="Q6" s="10" t="n">
        <v>291</v>
      </c>
      <c r="R6" s="11">
        <f>Q6/$D$6</f>
        <v/>
      </c>
      <c r="S6" s="12">
        <f>T6-Q6</f>
        <v/>
      </c>
      <c r="T6" s="12" t="n">
        <v>291</v>
      </c>
      <c r="U6" s="13">
        <f>T6/$D$6</f>
        <v/>
      </c>
      <c r="V6" s="8" t="inlineStr"/>
    </row>
    <row r="7">
      <c r="A7" s="7" t="n">
        <v>3</v>
      </c>
      <c r="B7" s="8" t="inlineStr">
        <is>
          <t>Lavender V</t>
        </is>
      </c>
      <c r="C7" s="9" t="n">
        <v>45608</v>
      </c>
      <c r="D7" s="10" t="n">
        <v>364</v>
      </c>
      <c r="E7" s="7" t="inlineStr">
        <is>
          <t>11295-25</t>
        </is>
      </c>
      <c r="F7" s="8" t="inlineStr">
        <is>
          <t>SCIENTEX (SKUDAI) SDN. BHD.</t>
        </is>
      </c>
      <c r="G7" s="10" t="n"/>
      <c r="H7" s="10" t="n">
        <v>364</v>
      </c>
      <c r="I7" s="11">
        <f>H7/$D$7</f>
        <v/>
      </c>
      <c r="J7" s="10">
        <f>K7-H7</f>
        <v/>
      </c>
      <c r="K7" s="10" t="n">
        <v>364</v>
      </c>
      <c r="L7" s="11">
        <f>K7/$D$7</f>
        <v/>
      </c>
      <c r="M7" s="10">
        <f>N7-K7</f>
        <v/>
      </c>
      <c r="N7" s="10" t="n">
        <v>364</v>
      </c>
      <c r="O7" s="11">
        <f>N7/$D$7</f>
        <v/>
      </c>
      <c r="P7" s="10">
        <f>Q7-N7</f>
        <v/>
      </c>
      <c r="Q7" s="10" t="n">
        <v>364</v>
      </c>
      <c r="R7" s="11">
        <f>Q7/$D$7</f>
        <v/>
      </c>
      <c r="S7" s="12">
        <f>T7-Q7</f>
        <v/>
      </c>
      <c r="T7" s="12" t="n">
        <v>364</v>
      </c>
      <c r="U7" s="13">
        <f>T7/$D$7</f>
        <v/>
      </c>
      <c r="V7" s="8" t="inlineStr"/>
    </row>
    <row r="8">
      <c r="A8" s="7" t="n">
        <v>4</v>
      </c>
      <c r="B8" s="8" t="inlineStr">
        <is>
          <t>Cassia 3</t>
        </is>
      </c>
      <c r="C8" s="9" t="n">
        <v>45722</v>
      </c>
      <c r="D8" s="10" t="n">
        <v>227</v>
      </c>
      <c r="E8" s="7" t="inlineStr">
        <is>
          <t>11295-26</t>
        </is>
      </c>
      <c r="F8" s="8" t="inlineStr">
        <is>
          <t>SCIENTEX (SKUDAI) SDN. BHD.</t>
        </is>
      </c>
      <c r="G8" s="10" t="n"/>
      <c r="H8" s="10" t="n">
        <v>227</v>
      </c>
      <c r="I8" s="11">
        <f>H8/$D$8</f>
        <v/>
      </c>
      <c r="J8" s="10">
        <f>K8-H8</f>
        <v/>
      </c>
      <c r="K8" s="10" t="n">
        <v>227</v>
      </c>
      <c r="L8" s="11">
        <f>K8/$D$8</f>
        <v/>
      </c>
      <c r="M8" s="10">
        <f>N8-K8</f>
        <v/>
      </c>
      <c r="N8" s="10" t="n">
        <v>227</v>
      </c>
      <c r="O8" s="11">
        <f>N8/$D$8</f>
        <v/>
      </c>
      <c r="P8" s="10">
        <f>Q8-N8</f>
        <v/>
      </c>
      <c r="Q8" s="10" t="n">
        <v>227</v>
      </c>
      <c r="R8" s="11">
        <f>Q8/$D$8</f>
        <v/>
      </c>
      <c r="S8" s="12">
        <f>T8-Q8</f>
        <v/>
      </c>
      <c r="T8" s="12" t="n">
        <v>227</v>
      </c>
      <c r="U8" s="13">
        <f>T8/$D$8</f>
        <v/>
      </c>
      <c r="V8" s="8" t="inlineStr"/>
    </row>
    <row r="9">
      <c r="A9" s="7" t="n">
        <v>5</v>
      </c>
      <c r="B9" s="8" t="inlineStr">
        <is>
          <t>Cassia 2</t>
        </is>
      </c>
      <c r="C9" s="9" t="n">
        <v>45883</v>
      </c>
      <c r="D9" s="10" t="n">
        <v>149</v>
      </c>
      <c r="E9" s="7" t="inlineStr">
        <is>
          <t>11295-27</t>
        </is>
      </c>
      <c r="F9" s="8" t="inlineStr">
        <is>
          <t>SCIENTEX (SKUDAI) SDN. BHD.</t>
        </is>
      </c>
      <c r="G9" s="10" t="n"/>
      <c r="H9" s="10" t="n">
        <v>146</v>
      </c>
      <c r="I9" s="11">
        <f>H9/$D$9</f>
        <v/>
      </c>
      <c r="J9" s="10">
        <f>K9-H9</f>
        <v/>
      </c>
      <c r="K9" s="10" t="n">
        <v>146</v>
      </c>
      <c r="L9" s="11">
        <f>K9/$D$9</f>
        <v/>
      </c>
      <c r="M9" s="10">
        <f>N9-K9</f>
        <v/>
      </c>
      <c r="N9" s="10" t="n">
        <v>146</v>
      </c>
      <c r="O9" s="11">
        <f>N9/$D$9</f>
        <v/>
      </c>
      <c r="P9" s="10">
        <f>Q9-N9</f>
        <v/>
      </c>
      <c r="Q9" s="10" t="n">
        <v>146</v>
      </c>
      <c r="R9" s="11">
        <f>Q9/$D$9</f>
        <v/>
      </c>
      <c r="S9" s="12">
        <f>T9-Q9</f>
        <v/>
      </c>
      <c r="T9" s="12" t="n">
        <v>146</v>
      </c>
      <c r="U9" s="13">
        <f>T9/$D$9</f>
        <v/>
      </c>
      <c r="V9" s="8" t="inlineStr"/>
    </row>
    <row r="10">
      <c r="A10" s="7" t="n">
        <v>6</v>
      </c>
      <c r="B10" s="8" t="inlineStr">
        <is>
          <t>Iris</t>
        </is>
      </c>
      <c r="C10" s="9" t="n">
        <v>45937</v>
      </c>
      <c r="D10" s="10" t="n">
        <v>267</v>
      </c>
      <c r="E10" s="7" t="inlineStr">
        <is>
          <t>11295-28</t>
        </is>
      </c>
      <c r="F10" s="8" t="inlineStr">
        <is>
          <t>SCIENTEX (SKUDAI) SDN. BHD.</t>
        </is>
      </c>
      <c r="G10" s="10" t="n"/>
      <c r="H10" s="10" t="n">
        <v>266</v>
      </c>
      <c r="I10" s="11">
        <f>H10/$D$10</f>
        <v/>
      </c>
      <c r="J10" s="10">
        <f>K10-H10</f>
        <v/>
      </c>
      <c r="K10" s="10" t="n">
        <v>266</v>
      </c>
      <c r="L10" s="11">
        <f>K10/$D$10</f>
        <v/>
      </c>
      <c r="M10" s="10">
        <f>N10-K10</f>
        <v/>
      </c>
      <c r="N10" s="10" t="n">
        <v>266</v>
      </c>
      <c r="O10" s="11">
        <f>N10/$D$10</f>
        <v/>
      </c>
      <c r="P10" s="10">
        <f>Q10-N10</f>
        <v/>
      </c>
      <c r="Q10" s="10" t="n">
        <v>266</v>
      </c>
      <c r="R10" s="11">
        <f>Q10/$D$10</f>
        <v/>
      </c>
      <c r="S10" s="12">
        <f>T10-Q10</f>
        <v/>
      </c>
      <c r="T10" s="12" t="n">
        <v>266</v>
      </c>
      <c r="U10" s="13">
        <f>T10/$D$10</f>
        <v/>
      </c>
      <c r="V10" s="8" t="inlineStr"/>
    </row>
    <row r="11">
      <c r="A11" s="7" t="n">
        <v>7</v>
      </c>
      <c r="B11" s="8" t="inlineStr">
        <is>
          <t>Maple</t>
        </is>
      </c>
      <c r="C11" s="9" t="n">
        <v>46176</v>
      </c>
      <c r="D11" s="10" t="n">
        <v>336</v>
      </c>
      <c r="E11" s="7" t="inlineStr">
        <is>
          <t>11295-29</t>
        </is>
      </c>
      <c r="F11" s="8" t="inlineStr">
        <is>
          <t>SCIENTEX (SKUDAI) SDN. BHD.</t>
        </is>
      </c>
      <c r="G11" s="10" t="n"/>
      <c r="H11" s="10" t="n">
        <v>152</v>
      </c>
      <c r="I11" s="11">
        <f>H11/$D$11</f>
        <v/>
      </c>
      <c r="J11" s="10">
        <f>K11-H11</f>
        <v/>
      </c>
      <c r="K11" s="10" t="n">
        <v>155</v>
      </c>
      <c r="L11" s="11">
        <f>K11/$D$11</f>
        <v/>
      </c>
      <c r="M11" s="10">
        <f>N11-K11</f>
        <v/>
      </c>
      <c r="N11" s="10" t="n">
        <v>160</v>
      </c>
      <c r="O11" s="11">
        <f>N11/$D$11</f>
        <v/>
      </c>
      <c r="P11" s="10">
        <f>Q11-N11</f>
        <v/>
      </c>
      <c r="Q11" s="10" t="n">
        <v>160</v>
      </c>
      <c r="R11" s="11">
        <f>Q11/$D$11</f>
        <v/>
      </c>
      <c r="S11" s="12">
        <f>T11-Q11</f>
        <v/>
      </c>
      <c r="T11" s="12" t="n">
        <v>165</v>
      </c>
      <c r="U11" s="13">
        <f>T11/$D$11</f>
        <v/>
      </c>
      <c r="V11" s="8" t="inlineStr"/>
    </row>
    <row r="12">
      <c r="A12" s="7" t="n">
        <v>8</v>
      </c>
      <c r="B12" s="8" t="inlineStr">
        <is>
          <t>Camellia</t>
        </is>
      </c>
      <c r="C12" s="9" t="n">
        <v>46183</v>
      </c>
      <c r="D12" s="10" t="n">
        <v>369</v>
      </c>
      <c r="E12" s="7" t="inlineStr">
        <is>
          <t>11295-30</t>
        </is>
      </c>
      <c r="F12" s="8" t="inlineStr">
        <is>
          <t>SCIENTEX (SKUDAI) SDN. BHD.</t>
        </is>
      </c>
      <c r="G12" s="10" t="n"/>
      <c r="H12" s="10" t="n">
        <v>255</v>
      </c>
      <c r="I12" s="11">
        <f>H12/$D$12</f>
        <v/>
      </c>
      <c r="J12" s="10">
        <f>K12-H12</f>
        <v/>
      </c>
      <c r="K12" s="10" t="n">
        <v>267</v>
      </c>
      <c r="L12" s="11">
        <f>K12/$D$12</f>
        <v/>
      </c>
      <c r="M12" s="10">
        <f>N12-K12</f>
        <v/>
      </c>
      <c r="N12" s="10" t="n">
        <v>277</v>
      </c>
      <c r="O12" s="11">
        <f>N12/$D$12</f>
        <v/>
      </c>
      <c r="P12" s="10">
        <f>Q12-N12</f>
        <v/>
      </c>
      <c r="Q12" s="10" t="n">
        <v>277</v>
      </c>
      <c r="R12" s="11">
        <f>Q12/$D$12</f>
        <v/>
      </c>
      <c r="S12" s="12">
        <f>T12-Q12</f>
        <v/>
      </c>
      <c r="T12" s="12" t="n">
        <v>278</v>
      </c>
      <c r="U12" s="13">
        <f>T12/$D$12</f>
        <v/>
      </c>
      <c r="V12" s="8" t="inlineStr"/>
    </row>
    <row r="13">
      <c r="A13" s="7" t="n">
        <v>9</v>
      </c>
      <c r="B13" s="8" t="inlineStr">
        <is>
          <t>RMMJ(B) A7A</t>
        </is>
      </c>
      <c r="C13" s="9" t="n">
        <v>45237</v>
      </c>
      <c r="D13" s="10" t="n">
        <v>485</v>
      </c>
      <c r="E13" s="7" t="inlineStr">
        <is>
          <t>19794-18</t>
        </is>
      </c>
      <c r="F13" s="8" t="inlineStr">
        <is>
          <t>AMBER LAND  BERHAD</t>
        </is>
      </c>
      <c r="G13" s="10" t="n"/>
      <c r="H13" s="10" t="n">
        <v>481</v>
      </c>
      <c r="I13" s="11">
        <f>H13/$D$13</f>
        <v/>
      </c>
      <c r="J13" s="10">
        <f>K13-H13</f>
        <v/>
      </c>
      <c r="K13" s="10" t="n">
        <v>481</v>
      </c>
      <c r="L13" s="11">
        <f>K13/$D$13</f>
        <v/>
      </c>
      <c r="M13" s="10">
        <f>N13-K13</f>
        <v/>
      </c>
      <c r="N13" s="10" t="n">
        <v>481</v>
      </c>
      <c r="O13" s="11">
        <f>N13/$D$13</f>
        <v/>
      </c>
      <c r="P13" s="10">
        <f>Q13-N13</f>
        <v/>
      </c>
      <c r="Q13" s="10" t="n">
        <v>481</v>
      </c>
      <c r="R13" s="11">
        <f>Q13/$D$13</f>
        <v/>
      </c>
      <c r="S13" s="12">
        <f>T13-Q13</f>
        <v/>
      </c>
      <c r="T13" s="12" t="n">
        <v>481</v>
      </c>
      <c r="U13" s="13">
        <f>T13/$D$13</f>
        <v/>
      </c>
      <c r="V13" s="8" t="inlineStr">
        <is>
          <t>Latest sales - Block A: 239 units, Block B: 242 units</t>
        </is>
      </c>
    </row>
    <row r="14">
      <c r="A14" s="7" t="n">
        <v>10</v>
      </c>
      <c r="B14" s="8" t="inlineStr">
        <is>
          <t>RMMJ(C) A13</t>
        </is>
      </c>
      <c r="C14" s="9" t="n">
        <v>45693</v>
      </c>
      <c r="D14" s="10" t="n">
        <v>353</v>
      </c>
      <c r="E14" s="7" t="inlineStr">
        <is>
          <t>19794-19</t>
        </is>
      </c>
      <c r="F14" s="8" t="inlineStr">
        <is>
          <t>AMBER LAND  BERHAD</t>
        </is>
      </c>
      <c r="G14" s="10" t="n"/>
      <c r="H14" s="10" t="n">
        <v>325</v>
      </c>
      <c r="I14" s="11">
        <f>H14/$D$14</f>
        <v/>
      </c>
      <c r="J14" s="10">
        <f>K14-H14</f>
        <v/>
      </c>
      <c r="K14" s="10" t="n">
        <v>327</v>
      </c>
      <c r="L14" s="11">
        <f>K14/$D$14</f>
        <v/>
      </c>
      <c r="M14" s="10">
        <f>N14-K14</f>
        <v/>
      </c>
      <c r="N14" s="10" t="n">
        <v>327</v>
      </c>
      <c r="O14" s="11">
        <f>N14/$D$14</f>
        <v/>
      </c>
      <c r="P14" s="10">
        <f>Q14-N14</f>
        <v/>
      </c>
      <c r="Q14" s="10" t="n">
        <v>327</v>
      </c>
      <c r="R14" s="11">
        <f>Q14/$D$14</f>
        <v/>
      </c>
      <c r="S14" s="12">
        <f>T14-Q14</f>
        <v/>
      </c>
      <c r="T14" s="12" t="n">
        <v>327</v>
      </c>
      <c r="U14" s="13">
        <f>T14/$D$14</f>
        <v/>
      </c>
      <c r="V14" s="8" t="inlineStr">
        <is>
          <t>Latest sales - Block A: 171 units, Block B: 156 units</t>
        </is>
      </c>
    </row>
    <row r="15">
      <c r="A15" s="7" t="n">
        <v>11</v>
      </c>
      <c r="B15" s="8" t="inlineStr">
        <is>
          <t>L'Ena</t>
        </is>
      </c>
      <c r="C15" s="9" t="n">
        <v>45856</v>
      </c>
      <c r="D15" s="10" t="n">
        <v>168</v>
      </c>
      <c r="E15" s="7" t="inlineStr">
        <is>
          <t>30714-5</t>
        </is>
      </c>
      <c r="F15" s="8" t="inlineStr">
        <is>
          <t>SCIENTEX JENJAROM SDN. BHD.</t>
        </is>
      </c>
      <c r="G15" s="10" t="n"/>
      <c r="H15" s="10" t="n">
        <v>147</v>
      </c>
      <c r="I15" s="11">
        <f>H15/$D$15</f>
        <v/>
      </c>
      <c r="J15" s="10">
        <f>K15-H15</f>
        <v/>
      </c>
      <c r="K15" s="10" t="n">
        <v>150</v>
      </c>
      <c r="L15" s="11">
        <f>K15/$D$15</f>
        <v/>
      </c>
      <c r="M15" s="10">
        <f>N15-K15</f>
        <v/>
      </c>
      <c r="N15" s="10" t="n">
        <v>153</v>
      </c>
      <c r="O15" s="11">
        <f>N15/$D$15</f>
        <v/>
      </c>
      <c r="P15" s="10">
        <f>Q15-N15</f>
        <v/>
      </c>
      <c r="Q15" s="10" t="n">
        <v>153</v>
      </c>
      <c r="R15" s="11">
        <f>Q15/$D$15</f>
        <v/>
      </c>
      <c r="S15" s="12">
        <f>T15-Q15</f>
        <v/>
      </c>
      <c r="T15" s="12" t="n">
        <v>153</v>
      </c>
      <c r="U15" s="13">
        <f>T15/$D$15</f>
        <v/>
      </c>
      <c r="V15" s="8" t="inlineStr"/>
    </row>
    <row r="16">
      <c r="A16" s="7" t="n">
        <v>12</v>
      </c>
      <c r="B16" s="8" t="inlineStr">
        <is>
          <t>Jasmine</t>
        </is>
      </c>
      <c r="C16" s="9" t="n">
        <v>45882</v>
      </c>
      <c r="D16" s="10" t="n">
        <v>322</v>
      </c>
      <c r="E16" s="7" t="inlineStr">
        <is>
          <t>30714-6</t>
        </is>
      </c>
      <c r="F16" s="8" t="inlineStr">
        <is>
          <t>SCIENTEX JENJAROM SDN. BHD.</t>
        </is>
      </c>
      <c r="G16" s="10" t="n"/>
      <c r="H16" s="10" t="n">
        <v>253</v>
      </c>
      <c r="I16" s="11">
        <f>H16/$D$16</f>
        <v/>
      </c>
      <c r="J16" s="10">
        <f>K16-H16</f>
        <v/>
      </c>
      <c r="K16" s="10" t="n">
        <v>256</v>
      </c>
      <c r="L16" s="11">
        <f>K16/$D$16</f>
        <v/>
      </c>
      <c r="M16" s="10">
        <f>N16-K16</f>
        <v/>
      </c>
      <c r="N16" s="10" t="n">
        <v>262</v>
      </c>
      <c r="O16" s="11">
        <f>N16/$D$16</f>
        <v/>
      </c>
      <c r="P16" s="10">
        <f>Q16-N16</f>
        <v/>
      </c>
      <c r="Q16" s="10" t="n">
        <v>265</v>
      </c>
      <c r="R16" s="11">
        <f>Q16/$D$16</f>
        <v/>
      </c>
      <c r="S16" s="12">
        <f>T16-Q16</f>
        <v/>
      </c>
      <c r="T16" s="12" t="n">
        <v>269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Dandelion 2 (JK2)</t>
        </is>
      </c>
      <c r="C17" s="9" t="n">
        <v>45659</v>
      </c>
      <c r="D17" s="10" t="n">
        <v>263</v>
      </c>
      <c r="E17" s="7" t="inlineStr">
        <is>
          <t>30884-1</t>
        </is>
      </c>
      <c r="F17" s="8" t="inlineStr">
        <is>
          <t>SCIENTEX LESTARI SDN. BHD.</t>
        </is>
      </c>
      <c r="G17" s="10" t="n"/>
      <c r="H17" s="10" t="n">
        <v>258</v>
      </c>
      <c r="I17" s="11">
        <f>H17/$D$17</f>
        <v/>
      </c>
      <c r="J17" s="10">
        <f>K17-H17</f>
        <v/>
      </c>
      <c r="K17" s="10" t="n">
        <v>260</v>
      </c>
      <c r="L17" s="11">
        <f>K17/$D$17</f>
        <v/>
      </c>
      <c r="M17" s="10">
        <f>N17-K17</f>
        <v/>
      </c>
      <c r="N17" s="10" t="n">
        <v>263</v>
      </c>
      <c r="O17" s="11">
        <f>N17/$D$17</f>
        <v/>
      </c>
      <c r="P17" s="10">
        <f>Q17-N17</f>
        <v/>
      </c>
      <c r="Q17" s="10" t="n">
        <v>263</v>
      </c>
      <c r="R17" s="11">
        <f>Q17/$D$17</f>
        <v/>
      </c>
      <c r="S17" s="12">
        <f>T17-Q17</f>
        <v/>
      </c>
      <c r="T17" s="12" t="n">
        <v>263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Dandelion (JK1)</t>
        </is>
      </c>
      <c r="C18" s="9" t="n">
        <v>45693</v>
      </c>
      <c r="D18" s="10" t="n">
        <v>182</v>
      </c>
      <c r="E18" s="7" t="inlineStr">
        <is>
          <t>30884-2</t>
        </is>
      </c>
      <c r="F18" s="8" t="inlineStr">
        <is>
          <t>SCIENTEX LESTARI SDN. BHD.</t>
        </is>
      </c>
      <c r="G18" s="10" t="n"/>
      <c r="H18" s="10" t="n">
        <v>182</v>
      </c>
      <c r="I18" s="11">
        <f>H18/$D$18</f>
        <v/>
      </c>
      <c r="J18" s="10">
        <f>K18-H18</f>
        <v/>
      </c>
      <c r="K18" s="10" t="n">
        <v>182</v>
      </c>
      <c r="L18" s="11">
        <f>K18/$D$18</f>
        <v/>
      </c>
      <c r="M18" s="10">
        <f>N18-K18</f>
        <v/>
      </c>
      <c r="N18" s="10" t="n">
        <v>182</v>
      </c>
      <c r="O18" s="11">
        <f>N18/$D$18</f>
        <v/>
      </c>
      <c r="P18" s="10">
        <f>Q18-N18</f>
        <v/>
      </c>
      <c r="Q18" s="10" t="n">
        <v>182</v>
      </c>
      <c r="R18" s="11">
        <f>Q18/$D$18</f>
        <v/>
      </c>
      <c r="S18" s="12">
        <f>T18-Q18</f>
        <v/>
      </c>
      <c r="T18" s="12" t="n">
        <v>182</v>
      </c>
      <c r="U18" s="13">
        <f>T18/$D$18</f>
        <v/>
      </c>
      <c r="V18" s="8" t="inlineStr"/>
    </row>
    <row r="19">
      <c r="A19" s="7" t="n">
        <v>15</v>
      </c>
      <c r="B19" s="8" t="inlineStr">
        <is>
          <t>Tulip (JK3)</t>
        </is>
      </c>
      <c r="C19" s="9" t="n">
        <v>45754</v>
      </c>
      <c r="D19" s="10" t="n">
        <v>244</v>
      </c>
      <c r="E19" s="7" t="inlineStr">
        <is>
          <t>30884-3</t>
        </is>
      </c>
      <c r="F19" s="8" t="inlineStr">
        <is>
          <t>SCIENTEX LESTARI SDN. BHD.</t>
        </is>
      </c>
      <c r="G19" s="10" t="n"/>
      <c r="H19" s="10" t="n">
        <v>244</v>
      </c>
      <c r="I19" s="11">
        <f>H19/$D$19</f>
        <v/>
      </c>
      <c r="J19" s="10">
        <f>K19-H19</f>
        <v/>
      </c>
      <c r="K19" s="10" t="n">
        <v>244</v>
      </c>
      <c r="L19" s="11">
        <f>K19/$D$19</f>
        <v/>
      </c>
      <c r="M19" s="10">
        <f>N19-K19</f>
        <v/>
      </c>
      <c r="N19" s="10" t="n">
        <v>244</v>
      </c>
      <c r="O19" s="11">
        <f>N19/$D$19</f>
        <v/>
      </c>
      <c r="P19" s="10">
        <f>Q19-N19</f>
        <v/>
      </c>
      <c r="Q19" s="10" t="n">
        <v>244</v>
      </c>
      <c r="R19" s="11">
        <f>Q19/$D$19</f>
        <v/>
      </c>
      <c r="S19" s="12">
        <f>T19-Q19</f>
        <v/>
      </c>
      <c r="T19" s="12" t="n">
        <v>244</v>
      </c>
      <c r="U19" s="13">
        <f>T19/$D$19</f>
        <v/>
      </c>
      <c r="V19" s="8" t="inlineStr"/>
    </row>
    <row r="20">
      <c r="A20" s="7" t="n">
        <v>16</v>
      </c>
      <c r="B20" s="8" t="inlineStr">
        <is>
          <t>RMMJ(C) JK11</t>
        </is>
      </c>
      <c r="C20" s="9" t="n">
        <v>45819</v>
      </c>
      <c r="D20" s="10" t="n">
        <v>382</v>
      </c>
      <c r="E20" s="7" t="inlineStr">
        <is>
          <t>30884-4</t>
        </is>
      </c>
      <c r="F20" s="8" t="inlineStr">
        <is>
          <t>SCIENTEX LESTARI SDN. BHD.</t>
        </is>
      </c>
      <c r="G20" s="10" t="n"/>
      <c r="H20" s="10" t="n">
        <v>242</v>
      </c>
      <c r="I20" s="11">
        <f>H20/$D$20</f>
        <v/>
      </c>
      <c r="J20" s="10">
        <f>K20-H20</f>
        <v/>
      </c>
      <c r="K20" s="10" t="n">
        <v>247</v>
      </c>
      <c r="L20" s="11">
        <f>K20/$D$20</f>
        <v/>
      </c>
      <c r="M20" s="10">
        <f>N20-K20</f>
        <v/>
      </c>
      <c r="N20" s="10" t="n">
        <v>247</v>
      </c>
      <c r="O20" s="11">
        <f>N20/$D$20</f>
        <v/>
      </c>
      <c r="P20" s="10">
        <f>Q20-N20</f>
        <v/>
      </c>
      <c r="Q20" s="10" t="n">
        <v>249</v>
      </c>
      <c r="R20" s="11">
        <f>Q20/$D$20</f>
        <v/>
      </c>
      <c r="S20" s="12">
        <f>T20-Q20</f>
        <v/>
      </c>
      <c r="T20" s="12" t="n">
        <v>249</v>
      </c>
      <c r="U20" s="13">
        <f>T20/$D$20</f>
        <v/>
      </c>
      <c r="V20" s="8" t="inlineStr">
        <is>
          <t>Latest sales - Block A: 129 units, Block B: 120 units</t>
        </is>
      </c>
    </row>
    <row r="21">
      <c r="A21" s="7" t="n">
        <v>17</v>
      </c>
      <c r="B21" s="8" t="inlineStr">
        <is>
          <t>Tulip 2 (JK4)</t>
        </is>
      </c>
      <c r="C21" s="9" t="n">
        <v>45869</v>
      </c>
      <c r="D21" s="10" t="n">
        <v>169</v>
      </c>
      <c r="E21" s="7" t="inlineStr">
        <is>
          <t>30884-5</t>
        </is>
      </c>
      <c r="F21" s="8" t="inlineStr">
        <is>
          <t>SCIENTEX LESTARI SDN. BHD.</t>
        </is>
      </c>
      <c r="G21" s="10" t="n"/>
      <c r="H21" s="10" t="n">
        <v>169</v>
      </c>
      <c r="I21" s="11">
        <f>H21/$D$21</f>
        <v/>
      </c>
      <c r="J21" s="10">
        <f>K21-H21</f>
        <v/>
      </c>
      <c r="K21" s="10" t="n">
        <v>169</v>
      </c>
      <c r="L21" s="11">
        <f>K21/$D$21</f>
        <v/>
      </c>
      <c r="M21" s="10">
        <f>N21-K21</f>
        <v/>
      </c>
      <c r="N21" s="10" t="n">
        <v>169</v>
      </c>
      <c r="O21" s="11">
        <f>N21/$D$21</f>
        <v/>
      </c>
      <c r="P21" s="10">
        <f>Q21-N21</f>
        <v/>
      </c>
      <c r="Q21" s="10" t="n">
        <v>169</v>
      </c>
      <c r="R21" s="11">
        <f>Q21/$D$21</f>
        <v/>
      </c>
      <c r="S21" s="12">
        <f>T21-Q21</f>
        <v/>
      </c>
      <c r="T21" s="12" t="n">
        <v>169</v>
      </c>
      <c r="U21" s="13">
        <f>T21/$D$21</f>
        <v/>
      </c>
      <c r="V21" s="8" t="inlineStr"/>
    </row>
    <row r="22">
      <c r="A22" s="7" t="n">
        <v>18</v>
      </c>
      <c r="B22" s="8" t="inlineStr">
        <is>
          <t>Dandelion 3 (JK5)</t>
        </is>
      </c>
      <c r="C22" s="9" t="n">
        <v>45945</v>
      </c>
      <c r="D22" s="10" t="n">
        <v>204</v>
      </c>
      <c r="E22" s="7" t="inlineStr">
        <is>
          <t>30884-6</t>
        </is>
      </c>
      <c r="F22" s="8" t="inlineStr">
        <is>
          <t>SCIENTEX LESTARI SDN. BHD.</t>
        </is>
      </c>
      <c r="G22" s="10" t="n"/>
      <c r="H22" s="10" t="n">
        <v>204</v>
      </c>
      <c r="I22" s="11">
        <f>H22/$D$22</f>
        <v/>
      </c>
      <c r="J22" s="10">
        <f>K22-H22</f>
        <v/>
      </c>
      <c r="K22" s="10" t="n">
        <v>204</v>
      </c>
      <c r="L22" s="11">
        <f>K22/$D$22</f>
        <v/>
      </c>
      <c r="M22" s="10">
        <f>N22-K22</f>
        <v/>
      </c>
      <c r="N22" s="10" t="n">
        <v>204</v>
      </c>
      <c r="O22" s="11">
        <f>N22/$D$22</f>
        <v/>
      </c>
      <c r="P22" s="10">
        <f>Q22-N22</f>
        <v/>
      </c>
      <c r="Q22" s="10" t="n">
        <v>204</v>
      </c>
      <c r="R22" s="11">
        <f>Q22/$D$22</f>
        <v/>
      </c>
      <c r="S22" s="12">
        <f>T22-Q22</f>
        <v/>
      </c>
      <c r="T22" s="12" t="n">
        <v>204</v>
      </c>
      <c r="U22" s="13">
        <f>T22/$D$22</f>
        <v/>
      </c>
      <c r="V22" s="8" t="inlineStr"/>
    </row>
    <row r="23">
      <c r="A23" s="7" t="n">
        <v>19</v>
      </c>
      <c r="B23" s="8" t="inlineStr">
        <is>
          <t>Sakura (JK8)</t>
        </is>
      </c>
      <c r="C23" s="9" t="n">
        <v>46183</v>
      </c>
      <c r="D23" s="10" t="n">
        <v>184</v>
      </c>
      <c r="E23" s="7" t="inlineStr">
        <is>
          <t>30884-7</t>
        </is>
      </c>
      <c r="F23" s="8" t="inlineStr">
        <is>
          <t>SCIENTEX LESTARI SDN. BHD.</t>
        </is>
      </c>
      <c r="G23" s="10" t="n"/>
      <c r="H23" s="10" t="n">
        <v>128</v>
      </c>
      <c r="I23" s="11">
        <f>H23/$D$23</f>
        <v/>
      </c>
      <c r="J23" s="10">
        <f>K23-H23</f>
        <v/>
      </c>
      <c r="K23" s="10" t="n">
        <v>132</v>
      </c>
      <c r="L23" s="11">
        <f>K23/$D$23</f>
        <v/>
      </c>
      <c r="M23" s="10">
        <f>N23-K23</f>
        <v/>
      </c>
      <c r="N23" s="10" t="n">
        <v>135</v>
      </c>
      <c r="O23" s="11">
        <f>N23/$D$23</f>
        <v/>
      </c>
      <c r="P23" s="10">
        <f>Q23-N23</f>
        <v/>
      </c>
      <c r="Q23" s="10" t="n">
        <v>135</v>
      </c>
      <c r="R23" s="11">
        <f>Q23/$D$23</f>
        <v/>
      </c>
      <c r="S23" s="12">
        <f>T23-Q23</f>
        <v/>
      </c>
      <c r="T23" s="12" t="n">
        <v>135</v>
      </c>
      <c r="U23" s="13">
        <f>T23/$D$23</f>
        <v/>
      </c>
      <c r="V23" s="8" t="inlineStr"/>
    </row>
    <row r="24">
      <c r="A24" s="7" t="n">
        <v>20</v>
      </c>
      <c r="B24" s="8" t="inlineStr">
        <is>
          <t>Tulip 3 (JK6)</t>
        </is>
      </c>
      <c r="C24" s="9" t="n">
        <v>46183</v>
      </c>
      <c r="D24" s="10" t="n">
        <v>183</v>
      </c>
      <c r="E24" s="7" t="inlineStr">
        <is>
          <t>30884-8</t>
        </is>
      </c>
      <c r="F24" s="8" t="inlineStr">
        <is>
          <t>SCIENTEX LESTARI SDN. BHD.</t>
        </is>
      </c>
      <c r="G24" s="10" t="n"/>
      <c r="H24" s="10" t="n">
        <v>100</v>
      </c>
      <c r="I24" s="11">
        <f>H24/$D$24</f>
        <v/>
      </c>
      <c r="J24" s="10">
        <f>K24-H24</f>
        <v/>
      </c>
      <c r="K24" s="10" t="n">
        <v>100</v>
      </c>
      <c r="L24" s="11">
        <f>K24/$D$24</f>
        <v/>
      </c>
      <c r="M24" s="10">
        <f>N24-K24</f>
        <v/>
      </c>
      <c r="N24" s="10" t="n">
        <v>101</v>
      </c>
      <c r="O24" s="11">
        <f>N24/$D$24</f>
        <v/>
      </c>
      <c r="P24" s="10">
        <f>Q24-N24</f>
        <v/>
      </c>
      <c r="Q24" s="10" t="n">
        <v>101</v>
      </c>
      <c r="R24" s="11">
        <f>Q24/$D$24</f>
        <v/>
      </c>
      <c r="S24" s="12">
        <f>T24-Q24</f>
        <v/>
      </c>
      <c r="T24" s="12" t="n">
        <v>102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Mori Residences 2</t>
        </is>
      </c>
      <c r="C25" s="9" t="n">
        <v>45111</v>
      </c>
      <c r="D25" s="10" t="n">
        <v>489</v>
      </c>
      <c r="E25" s="7" t="inlineStr">
        <is>
          <t>6331-22</t>
        </is>
      </c>
      <c r="F25" s="8" t="inlineStr">
        <is>
          <t>SCIENTEX PARK (M) SDN. BHD.</t>
        </is>
      </c>
      <c r="G25" s="10" t="n"/>
      <c r="H25" s="10" t="n">
        <v>468</v>
      </c>
      <c r="I25" s="11">
        <f>H25/$D$25</f>
        <v/>
      </c>
      <c r="J25" s="10">
        <f>K25-H25</f>
        <v/>
      </c>
      <c r="K25" s="10" t="n">
        <v>468</v>
      </c>
      <c r="L25" s="11">
        <f>K25/$D$25</f>
        <v/>
      </c>
      <c r="M25" s="10">
        <f>N25-K25</f>
        <v/>
      </c>
      <c r="N25" s="10" t="n">
        <v>468</v>
      </c>
      <c r="O25" s="11">
        <f>N25/$D$25</f>
        <v/>
      </c>
      <c r="P25" s="10">
        <f>Q25-N25</f>
        <v/>
      </c>
      <c r="Q25" s="10" t="n">
        <v>468</v>
      </c>
      <c r="R25" s="11">
        <f>Q25/$D$25</f>
        <v/>
      </c>
      <c r="S25" s="12">
        <f>T25-Q25</f>
        <v/>
      </c>
      <c r="T25" s="12" t="n">
        <v>468</v>
      </c>
      <c r="U25" s="13">
        <f>T25/$D$25</f>
        <v/>
      </c>
      <c r="V25" s="8" t="inlineStr"/>
    </row>
    <row r="26">
      <c r="A26" s="7" t="n">
        <v>22</v>
      </c>
      <c r="B26" s="8" t="inlineStr">
        <is>
          <t>Mori Residences 3</t>
        </is>
      </c>
      <c r="C26" s="9" t="n">
        <v>45693</v>
      </c>
      <c r="D26" s="10" t="n">
        <v>498</v>
      </c>
      <c r="E26" s="7" t="inlineStr">
        <is>
          <t>6331-25</t>
        </is>
      </c>
      <c r="F26" s="8" t="inlineStr">
        <is>
          <t>SCIENTEX PARK (M) SDN. BHD.</t>
        </is>
      </c>
      <c r="G26" s="10" t="n"/>
      <c r="H26" s="10" t="n">
        <v>396</v>
      </c>
      <c r="I26" s="11">
        <f>H26/$D$26</f>
        <v/>
      </c>
      <c r="J26" s="10">
        <f>K26-H26</f>
        <v/>
      </c>
      <c r="K26" s="10" t="n">
        <v>396</v>
      </c>
      <c r="L26" s="11">
        <f>K26/$D$26</f>
        <v/>
      </c>
      <c r="M26" s="10">
        <f>N26-K26</f>
        <v/>
      </c>
      <c r="N26" s="10" t="n">
        <v>398</v>
      </c>
      <c r="O26" s="11">
        <f>N26/$D$26</f>
        <v/>
      </c>
      <c r="P26" s="10">
        <f>Q26-N26</f>
        <v/>
      </c>
      <c r="Q26" s="10" t="n">
        <v>399</v>
      </c>
      <c r="R26" s="11">
        <f>Q26/$D$26</f>
        <v/>
      </c>
      <c r="S26" s="12">
        <f>T26-Q26</f>
        <v/>
      </c>
      <c r="T26" s="12" t="n">
        <v>399</v>
      </c>
      <c r="U26" s="13">
        <f>T26/$D$26</f>
        <v/>
      </c>
      <c r="V26" s="8" t="inlineStr"/>
    </row>
    <row r="27">
      <c r="A27" s="7" t="n">
        <v>23</v>
      </c>
      <c r="B27" s="8" t="inlineStr">
        <is>
          <t>Sentrio Residences by Hillside (N6)</t>
        </is>
      </c>
      <c r="C27" s="9" t="n">
        <v>45891</v>
      </c>
      <c r="D27" s="10" t="n">
        <v>584</v>
      </c>
      <c r="E27" s="7" t="inlineStr">
        <is>
          <t>6331-26</t>
        </is>
      </c>
      <c r="F27" s="8" t="inlineStr">
        <is>
          <t>SCIENTEX PARK (M) SDN. BHD.</t>
        </is>
      </c>
      <c r="G27" s="10" t="n"/>
      <c r="H27" s="10" t="n">
        <v>267</v>
      </c>
      <c r="I27" s="11">
        <f>H27/$D$27</f>
        <v/>
      </c>
      <c r="J27" s="10">
        <f>K27-H27</f>
        <v/>
      </c>
      <c r="K27" s="10" t="n">
        <v>268</v>
      </c>
      <c r="L27" s="11">
        <f>K27/$D$27</f>
        <v/>
      </c>
      <c r="M27" s="10">
        <f>N27-K27</f>
        <v/>
      </c>
      <c r="N27" s="10" t="n">
        <v>270</v>
      </c>
      <c r="O27" s="11">
        <f>N27/$D$27</f>
        <v/>
      </c>
      <c r="P27" s="10">
        <f>Q27-N27</f>
        <v/>
      </c>
      <c r="Q27" s="10" t="n">
        <v>271</v>
      </c>
      <c r="R27" s="11">
        <f>Q27/$D$27</f>
        <v/>
      </c>
      <c r="S27" s="12">
        <f>T27-Q27</f>
        <v/>
      </c>
      <c r="T27" s="12" t="n">
        <v>272</v>
      </c>
      <c r="U27" s="13">
        <f>T27/$D$27</f>
        <v/>
      </c>
      <c r="V27" s="8" t="inlineStr">
        <is>
          <t>Latest sales - Block A: 162 units, Block B: 110 units</t>
        </is>
      </c>
    </row>
    <row r="28">
      <c r="A28" s="7" t="n">
        <v>24</v>
      </c>
      <c r="B28" s="8" t="inlineStr">
        <is>
          <t>Kenanga II</t>
        </is>
      </c>
      <c r="C28" s="9" t="n">
        <v>46176</v>
      </c>
      <c r="D28" s="10" t="n">
        <v>288</v>
      </c>
      <c r="E28" s="7" t="inlineStr">
        <is>
          <t>6331-27</t>
        </is>
      </c>
      <c r="F28" s="8" t="inlineStr">
        <is>
          <t>SCIENTEX PARK (M) SDN. BHD.</t>
        </is>
      </c>
      <c r="G28" s="10" t="n"/>
      <c r="H28" s="10" t="n">
        <v>213</v>
      </c>
      <c r="I28" s="11">
        <f>H28/$D$28</f>
        <v/>
      </c>
      <c r="J28" s="10">
        <f>K28-H28</f>
        <v/>
      </c>
      <c r="K28" s="10" t="n">
        <v>213</v>
      </c>
      <c r="L28" s="11">
        <f>K28/$D$28</f>
        <v/>
      </c>
      <c r="M28" s="10">
        <f>N28-K28</f>
        <v/>
      </c>
      <c r="N28" s="10" t="n">
        <v>217</v>
      </c>
      <c r="O28" s="11">
        <f>N28/$D$28</f>
        <v/>
      </c>
      <c r="P28" s="10">
        <f>Q28-N28</f>
        <v/>
      </c>
      <c r="Q28" s="10" t="n">
        <v>220</v>
      </c>
      <c r="R28" s="11">
        <f>Q28/$D$28</f>
        <v/>
      </c>
      <c r="S28" s="12">
        <f>T28-Q28</f>
        <v/>
      </c>
      <c r="T28" s="12" t="n">
        <v>221</v>
      </c>
      <c r="U28" s="13">
        <f>T28/$D$28</f>
        <v/>
      </c>
      <c r="V28" s="8" t="inlineStr"/>
    </row>
    <row r="29">
      <c r="A29" s="7" t="n">
        <v>25</v>
      </c>
      <c r="B29" s="8" t="inlineStr">
        <is>
          <t>Kenanga</t>
        </is>
      </c>
      <c r="C29" s="9" t="n">
        <v>46176</v>
      </c>
      <c r="D29" s="10" t="n">
        <v>332</v>
      </c>
      <c r="E29" s="7" t="inlineStr">
        <is>
          <t>6331-28</t>
        </is>
      </c>
      <c r="F29" s="8" t="inlineStr">
        <is>
          <t>SCIENTEX PARK (M) SDN. BHD.</t>
        </is>
      </c>
      <c r="G29" s="10" t="n"/>
      <c r="H29" s="10" t="n">
        <v>312</v>
      </c>
      <c r="I29" s="11">
        <f>H29/$D$29</f>
        <v/>
      </c>
      <c r="J29" s="10">
        <f>K29-H29</f>
        <v/>
      </c>
      <c r="K29" s="10" t="n">
        <v>312</v>
      </c>
      <c r="L29" s="11">
        <f>K29/$D$29</f>
        <v/>
      </c>
      <c r="M29" s="10">
        <f>N29-K29</f>
        <v/>
      </c>
      <c r="N29" s="10" t="n">
        <v>314</v>
      </c>
      <c r="O29" s="11">
        <f>N29/$D$29</f>
        <v/>
      </c>
      <c r="P29" s="10">
        <f>Q29-N29</f>
        <v/>
      </c>
      <c r="Q29" s="10" t="n">
        <v>315</v>
      </c>
      <c r="R29" s="11">
        <f>Q29/$D$29</f>
        <v/>
      </c>
      <c r="S29" s="12">
        <f>T29-Q29</f>
        <v/>
      </c>
      <c r="T29" s="12" t="n">
        <v>315</v>
      </c>
      <c r="U29" s="13">
        <f>T29/$D$29</f>
        <v/>
      </c>
      <c r="V29" s="8" t="inlineStr"/>
    </row>
    <row r="30">
      <c r="A30" s="7" t="n">
        <v>26</v>
      </c>
      <c r="B30" s="8" t="inlineStr">
        <is>
          <t>Daisy</t>
        </is>
      </c>
      <c r="C30" s="9" t="n">
        <v>46212</v>
      </c>
      <c r="D30" s="10" t="n">
        <v>300</v>
      </c>
      <c r="E30" s="7" t="inlineStr">
        <is>
          <t>6331-29</t>
        </is>
      </c>
      <c r="F30" s="8" t="inlineStr">
        <is>
          <t>SCIENTEX PARK (M) SDN. BHD.</t>
        </is>
      </c>
      <c r="G30" s="10" t="n"/>
      <c r="H30" s="10" t="n">
        <v>85</v>
      </c>
      <c r="I30" s="11">
        <f>H30/$D$30</f>
        <v/>
      </c>
      <c r="J30" s="10">
        <f>K30-H30</f>
        <v/>
      </c>
      <c r="K30" s="10" t="n">
        <v>89</v>
      </c>
      <c r="L30" s="11">
        <f>K30/$D$30</f>
        <v/>
      </c>
      <c r="M30" s="10">
        <f>N30-K30</f>
        <v/>
      </c>
      <c r="N30" s="10" t="n">
        <v>92</v>
      </c>
      <c r="O30" s="11">
        <f>N30/$D$30</f>
        <v/>
      </c>
      <c r="P30" s="10">
        <f>Q30-N30</f>
        <v/>
      </c>
      <c r="Q30" s="10" t="n">
        <v>92</v>
      </c>
      <c r="R30" s="11">
        <f>Q30/$D$30</f>
        <v/>
      </c>
      <c r="S30" s="12">
        <f>T30-Q30</f>
        <v/>
      </c>
      <c r="T30" s="12" t="n">
        <v>96</v>
      </c>
      <c r="U30" s="13">
        <f>T30/$D$30</f>
        <v/>
      </c>
      <c r="V30" s="8" t="inlineStr"/>
    </row>
    <row r="31">
      <c r="A31" s="7" t="n">
        <v>27</v>
      </c>
      <c r="B31" s="8" t="inlineStr">
        <is>
          <t>Taman Scientex Jasin Mutiara</t>
        </is>
      </c>
      <c r="C31" s="9" t="n">
        <v>45776</v>
      </c>
      <c r="D31" s="10" t="n">
        <v>206</v>
      </c>
      <c r="E31" s="7" t="inlineStr">
        <is>
          <t>6575-50</t>
        </is>
      </c>
      <c r="F31" s="8" t="inlineStr">
        <is>
          <t>SCIENTEX HEIGHTS SDN. BHD.</t>
        </is>
      </c>
      <c r="G31" s="10" t="n"/>
      <c r="H31" s="10" t="n">
        <v>204</v>
      </c>
      <c r="I31" s="11">
        <f>H31/$D$31</f>
        <v/>
      </c>
      <c r="J31" s="10">
        <f>K31-H31</f>
        <v/>
      </c>
      <c r="K31" s="10" t="n">
        <v>204</v>
      </c>
      <c r="L31" s="11">
        <f>K31/$D$31</f>
        <v/>
      </c>
      <c r="M31" s="10">
        <f>N31-K31</f>
        <v/>
      </c>
      <c r="N31" s="10" t="n">
        <v>204</v>
      </c>
      <c r="O31" s="11">
        <f>N31/$D$31</f>
        <v/>
      </c>
      <c r="P31" s="10">
        <f>Q31-N31</f>
        <v/>
      </c>
      <c r="Q31" s="10" t="n">
        <v>204</v>
      </c>
      <c r="R31" s="11">
        <f>Q31/$D$31</f>
        <v/>
      </c>
      <c r="S31" s="12">
        <f>T31-Q31</f>
        <v/>
      </c>
      <c r="T31" s="12" t="n">
        <v>204</v>
      </c>
      <c r="U31" s="13">
        <f>T31/$D$31</f>
        <v/>
      </c>
      <c r="V31" s="8" t="inlineStr"/>
    </row>
    <row r="32">
      <c r="A32" s="7" t="n">
        <v>28</v>
      </c>
      <c r="B32" s="8" t="inlineStr">
        <is>
          <t>Mimosa (BJ2)</t>
        </is>
      </c>
      <c r="C32" s="9" t="n">
        <v>45846</v>
      </c>
      <c r="D32" s="10" t="n">
        <v>232</v>
      </c>
      <c r="E32" s="7" t="inlineStr">
        <is>
          <t>6575-51</t>
        </is>
      </c>
      <c r="F32" s="8" t="inlineStr">
        <is>
          <t>SCIENTEX HEIGHTS SDN. BHD.</t>
        </is>
      </c>
      <c r="G32" s="10" t="n"/>
      <c r="H32" s="10" t="n">
        <v>232</v>
      </c>
      <c r="I32" s="11">
        <f>H32/$D$32</f>
        <v/>
      </c>
      <c r="J32" s="10">
        <f>K32-H32</f>
        <v/>
      </c>
      <c r="K32" s="10" t="n">
        <v>232</v>
      </c>
      <c r="L32" s="11">
        <f>K32/$D$32</f>
        <v/>
      </c>
      <c r="M32" s="10">
        <f>N32-K32</f>
        <v/>
      </c>
      <c r="N32" s="10" t="n">
        <v>232</v>
      </c>
      <c r="O32" s="11">
        <f>N32/$D$32</f>
        <v/>
      </c>
      <c r="P32" s="10">
        <f>Q32-N32</f>
        <v/>
      </c>
      <c r="Q32" s="10" t="n">
        <v>232</v>
      </c>
      <c r="R32" s="11">
        <f>Q32/$D$32</f>
        <v/>
      </c>
      <c r="S32" s="12">
        <f>T32-Q32</f>
        <v/>
      </c>
      <c r="T32" s="12" t="n">
        <v>232</v>
      </c>
      <c r="U32" s="13">
        <f>T32/$D$32</f>
        <v/>
      </c>
      <c r="V32" s="8" t="inlineStr"/>
    </row>
    <row r="33">
      <c r="A33" s="7" t="n">
        <v>29</v>
      </c>
      <c r="B33" s="8" t="inlineStr">
        <is>
          <t>Aster (SM1A)</t>
        </is>
      </c>
      <c r="C33" s="9" t="n">
        <v>46168</v>
      </c>
      <c r="D33" s="10" t="n">
        <v>209</v>
      </c>
      <c r="E33" s="7" t="inlineStr">
        <is>
          <t>6575-53</t>
        </is>
      </c>
      <c r="F33" s="8" t="inlineStr">
        <is>
          <t>SCIENTEX HEIGHTS SDN. BHD.</t>
        </is>
      </c>
      <c r="G33" s="10" t="n"/>
      <c r="H33" s="10" t="n">
        <v>195</v>
      </c>
      <c r="I33" s="11">
        <f>H33/$D$33</f>
        <v/>
      </c>
      <c r="J33" s="10">
        <f>K33-H33</f>
        <v/>
      </c>
      <c r="K33" s="10" t="n">
        <v>197</v>
      </c>
      <c r="L33" s="11">
        <f>K33/$D$33</f>
        <v/>
      </c>
      <c r="M33" s="10">
        <f>N33-K33</f>
        <v/>
      </c>
      <c r="N33" s="10" t="n">
        <v>198</v>
      </c>
      <c r="O33" s="11">
        <f>N33/$D$33</f>
        <v/>
      </c>
      <c r="P33" s="10">
        <f>Q33-N33</f>
        <v/>
      </c>
      <c r="Q33" s="10" t="n">
        <v>199</v>
      </c>
      <c r="R33" s="11">
        <f>Q33/$D$33</f>
        <v/>
      </c>
      <c r="S33" s="12">
        <f>T33-Q33</f>
        <v/>
      </c>
      <c r="T33" s="12" t="n">
        <v>201</v>
      </c>
      <c r="U33" s="13">
        <f>T33/$D$33</f>
        <v/>
      </c>
      <c r="V33" s="8" t="inlineStr"/>
    </row>
    <row r="34">
      <c r="A34" s="7" t="n">
        <v>30</v>
      </c>
      <c r="B34" s="8" t="inlineStr">
        <is>
          <t>Aster (SM1B)</t>
        </is>
      </c>
      <c r="C34" s="9" t="n">
        <v>46168</v>
      </c>
      <c r="D34" s="10" t="n">
        <v>196</v>
      </c>
      <c r="E34" s="7" t="inlineStr">
        <is>
          <t>6575-54</t>
        </is>
      </c>
      <c r="F34" s="8" t="inlineStr">
        <is>
          <t>SCIENTEX HEIGHTS SDN. BHD.</t>
        </is>
      </c>
      <c r="G34" s="10" t="n"/>
      <c r="H34" s="10" t="n">
        <v>185</v>
      </c>
      <c r="I34" s="11">
        <f>H34/$D$34</f>
        <v/>
      </c>
      <c r="J34" s="10">
        <f>K34-H34</f>
        <v/>
      </c>
      <c r="K34" s="10" t="n">
        <v>186</v>
      </c>
      <c r="L34" s="11">
        <f>K34/$D$34</f>
        <v/>
      </c>
      <c r="M34" s="10">
        <f>N34-K34</f>
        <v/>
      </c>
      <c r="N34" s="10" t="n">
        <v>187</v>
      </c>
      <c r="O34" s="11">
        <f>N34/$D$34</f>
        <v/>
      </c>
      <c r="P34" s="10">
        <f>Q34-N34</f>
        <v/>
      </c>
      <c r="Q34" s="10" t="n">
        <v>187</v>
      </c>
      <c r="R34" s="11">
        <f>Q34/$D$34</f>
        <v/>
      </c>
      <c r="S34" s="12">
        <f>T34-Q34</f>
        <v/>
      </c>
      <c r="T34" s="12" t="n">
        <v>187</v>
      </c>
      <c r="U34" s="13">
        <f>T34/$D$34</f>
        <v/>
      </c>
      <c r="V34" s="8" t="inlineStr"/>
    </row>
    <row r="35">
      <c r="A35" s="7" t="n">
        <v>31</v>
      </c>
      <c r="B35" s="8" t="inlineStr">
        <is>
          <t>Camellia (MC1a)</t>
        </is>
      </c>
      <c r="C35" s="9" t="n">
        <v>46197</v>
      </c>
      <c r="D35" s="10" t="n">
        <v>279</v>
      </c>
      <c r="E35" s="7" t="inlineStr">
        <is>
          <t>6575-55</t>
        </is>
      </c>
      <c r="F35" s="8" t="inlineStr">
        <is>
          <t>SCIENTEX HEIGHTS SDN. BHD.</t>
        </is>
      </c>
      <c r="G35" s="10" t="n"/>
      <c r="H35" s="10" t="n">
        <v>96</v>
      </c>
      <c r="I35" s="11">
        <f>H35/$D$35</f>
        <v/>
      </c>
      <c r="J35" s="10">
        <f>K35-H35</f>
        <v/>
      </c>
      <c r="K35" s="10" t="n">
        <v>97</v>
      </c>
      <c r="L35" s="11">
        <f>K35/$D$35</f>
        <v/>
      </c>
      <c r="M35" s="10">
        <f>N35-K35</f>
        <v/>
      </c>
      <c r="N35" s="10" t="n">
        <v>98</v>
      </c>
      <c r="O35" s="11">
        <f>N35/$D$35</f>
        <v/>
      </c>
      <c r="P35" s="10">
        <f>Q35-N35</f>
        <v/>
      </c>
      <c r="Q35" s="10" t="n">
        <v>101</v>
      </c>
      <c r="R35" s="11">
        <f>Q35/$D$35</f>
        <v/>
      </c>
      <c r="S35" s="12">
        <f>T35-Q35</f>
        <v/>
      </c>
      <c r="T35" s="12" t="n">
        <v>104</v>
      </c>
      <c r="U35" s="13">
        <f>T35/$D$35</f>
        <v/>
      </c>
      <c r="V35" s="8" t="inlineStr"/>
    </row>
    <row r="36">
      <c r="A36" s="7" t="n">
        <v>32</v>
      </c>
      <c r="B36" s="8" t="inlineStr">
        <is>
          <t>Harmoni (MC2a)</t>
        </is>
      </c>
      <c r="C36" s="9" t="n">
        <v>46210</v>
      </c>
      <c r="D36" s="10" t="n">
        <v>288</v>
      </c>
      <c r="E36" s="7" t="inlineStr">
        <is>
          <t>6575-56</t>
        </is>
      </c>
      <c r="F36" s="8" t="inlineStr">
        <is>
          <t>SCIENTEX HEIGHTS SDN. BHD.</t>
        </is>
      </c>
      <c r="G36" s="10" t="n"/>
      <c r="H36" s="10" t="n">
        <v>164</v>
      </c>
      <c r="I36" s="11">
        <f>H36/$D$36</f>
        <v/>
      </c>
      <c r="J36" s="10">
        <f>K36-H36</f>
        <v/>
      </c>
      <c r="K36" s="10" t="n">
        <v>169</v>
      </c>
      <c r="L36" s="11">
        <f>K36/$D$36</f>
        <v/>
      </c>
      <c r="M36" s="10">
        <f>N36-K36</f>
        <v/>
      </c>
      <c r="N36" s="10" t="n">
        <v>172</v>
      </c>
      <c r="O36" s="11">
        <f>N36/$D$36</f>
        <v/>
      </c>
      <c r="P36" s="10">
        <f>Q36-N36</f>
        <v/>
      </c>
      <c r="Q36" s="10" t="n">
        <v>172</v>
      </c>
      <c r="R36" s="11">
        <f>Q36/$D$36</f>
        <v/>
      </c>
      <c r="S36" s="12">
        <f>T36-Q36</f>
        <v/>
      </c>
      <c r="T36" s="12" t="n">
        <v>176</v>
      </c>
      <c r="U36" s="13">
        <f>T36/$D$36</f>
        <v/>
      </c>
      <c r="V36" s="8" t="inlineStr"/>
    </row>
    <row r="37">
      <c r="A37" s="7" t="n">
        <v>33</v>
      </c>
      <c r="B37" s="8" t="inlineStr">
        <is>
          <t>Aster (SM1C)</t>
        </is>
      </c>
      <c r="C37" s="9" t="n">
        <v>46224</v>
      </c>
      <c r="D37" s="10" t="n">
        <v>256</v>
      </c>
      <c r="E37" s="7" t="inlineStr">
        <is>
          <t>6575-58</t>
        </is>
      </c>
      <c r="F37" s="8" t="inlineStr">
        <is>
          <t>SCIENTEX HEIGHTS SDN. BHD.</t>
        </is>
      </c>
      <c r="G37" s="10" t="n"/>
      <c r="H37" s="10" t="n">
        <v>137</v>
      </c>
      <c r="I37" s="11">
        <f>H37/$D$37</f>
        <v/>
      </c>
      <c r="J37" s="10">
        <f>K37-H37</f>
        <v/>
      </c>
      <c r="K37" s="10" t="n">
        <v>145</v>
      </c>
      <c r="L37" s="11">
        <f>K37/$D$37</f>
        <v/>
      </c>
      <c r="M37" s="10">
        <f>N37-K37</f>
        <v/>
      </c>
      <c r="N37" s="10" t="n">
        <v>150</v>
      </c>
      <c r="O37" s="11">
        <f>N37/$D$37</f>
        <v/>
      </c>
      <c r="P37" s="10">
        <f>Q37-N37</f>
        <v/>
      </c>
      <c r="Q37" s="10" t="n">
        <v>155</v>
      </c>
      <c r="R37" s="11">
        <f>Q37/$D$37</f>
        <v/>
      </c>
      <c r="S37" s="12">
        <f>T37-Q37</f>
        <v/>
      </c>
      <c r="T37" s="12" t="n">
        <v>160</v>
      </c>
      <c r="U37" s="13">
        <f>T37/$D$37</f>
        <v/>
      </c>
      <c r="V37" s="8" t="inlineStr"/>
    </row>
    <row r="38">
      <c r="A38" s="7" t="n">
        <v>34</v>
      </c>
      <c r="B38" s="8" t="inlineStr">
        <is>
          <t>Aster (SM1D)</t>
        </is>
      </c>
      <c r="C38" s="9" t="n">
        <v>46246</v>
      </c>
      <c r="D38" s="10" t="n">
        <v>216</v>
      </c>
      <c r="E38" s="7" t="inlineStr">
        <is>
          <t>6575-59</t>
        </is>
      </c>
      <c r="F38" s="8" t="inlineStr">
        <is>
          <t>SCIENTEX HEIGHTS SDN. BHD.</t>
        </is>
      </c>
      <c r="G38" s="10" t="n"/>
      <c r="H38" s="10" t="n">
        <v>0</v>
      </c>
      <c r="I38" s="11">
        <f>H38/$D$38</f>
        <v/>
      </c>
      <c r="J38" s="10">
        <f>K38-H38</f>
        <v/>
      </c>
      <c r="K38" s="10" t="n">
        <v>0</v>
      </c>
      <c r="L38" s="11">
        <f>K38/$D$38</f>
        <v/>
      </c>
      <c r="M38" s="10">
        <f>N38-K38</f>
        <v/>
      </c>
      <c r="N38" s="10" t="n">
        <v>0</v>
      </c>
      <c r="O38" s="11">
        <f>N38/$D$38</f>
        <v/>
      </c>
      <c r="P38" s="10">
        <f>Q38-N38</f>
        <v/>
      </c>
      <c r="Q38" s="10" t="n">
        <v>0</v>
      </c>
      <c r="R38" s="11">
        <f>Q38/$D$38</f>
        <v/>
      </c>
      <c r="S38" s="12">
        <f>T38-Q38</f>
        <v/>
      </c>
      <c r="T38" s="12" t="n">
        <v>0</v>
      </c>
      <c r="U38" s="13">
        <f>T38/$D$38</f>
        <v/>
      </c>
      <c r="V38" s="8" t="inlineStr"/>
    </row>
    <row r="39">
      <c r="A39" s="7" t="n">
        <v>35</v>
      </c>
      <c r="B39" s="8" t="inlineStr">
        <is>
          <t>RMMJ(B) SP10</t>
        </is>
      </c>
      <c r="C39" s="9" t="n">
        <v>43881</v>
      </c>
      <c r="D39" s="10" t="n">
        <v>210</v>
      </c>
      <c r="E39" s="7" t="inlineStr">
        <is>
          <t>9294-57</t>
        </is>
      </c>
      <c r="F39" s="8" t="inlineStr">
        <is>
          <t>SCIENTEX QUATARI SDN. BHD.</t>
        </is>
      </c>
      <c r="G39" s="10" t="n"/>
      <c r="H39" s="10" t="n">
        <v>205</v>
      </c>
      <c r="I39" s="11">
        <f>H39/$D$39</f>
        <v/>
      </c>
      <c r="J39" s="10">
        <f>K39-H39</f>
        <v/>
      </c>
      <c r="K39" s="10" t="n">
        <v>205</v>
      </c>
      <c r="L39" s="11">
        <f>K39/$D$39</f>
        <v/>
      </c>
      <c r="M39" s="10">
        <f>N39-K39</f>
        <v/>
      </c>
      <c r="N39" s="10" t="n">
        <v>205</v>
      </c>
      <c r="O39" s="11">
        <f>N39/$D$39</f>
        <v/>
      </c>
      <c r="P39" s="10">
        <f>Q39-N39</f>
        <v/>
      </c>
      <c r="Q39" s="10" t="n">
        <v>205</v>
      </c>
      <c r="R39" s="11">
        <f>Q39/$D$39</f>
        <v/>
      </c>
      <c r="S39" s="12">
        <f>T39-Q39</f>
        <v/>
      </c>
      <c r="T39" s="12" t="n">
        <v>205</v>
      </c>
      <c r="U39" s="13">
        <f>T39/$D$39</f>
        <v/>
      </c>
      <c r="V39" s="8" t="inlineStr"/>
    </row>
    <row r="40">
      <c r="A40" s="7" t="n">
        <v>36</v>
      </c>
      <c r="B40" s="8" t="inlineStr">
        <is>
          <t>Sentrio Residences (SN12A)</t>
        </is>
      </c>
      <c r="C40" s="9" t="n">
        <v>45484</v>
      </c>
      <c r="D40" s="10" t="n">
        <v>516</v>
      </c>
      <c r="E40" s="7" t="inlineStr">
        <is>
          <t>9294-67</t>
        </is>
      </c>
      <c r="F40" s="8" t="inlineStr">
        <is>
          <t>SCIENTEX QUATARI SDN. BHD.</t>
        </is>
      </c>
      <c r="G40" s="10" t="n"/>
      <c r="H40" s="10" t="n">
        <v>516</v>
      </c>
      <c r="I40" s="11">
        <f>H40/$D$40</f>
        <v/>
      </c>
      <c r="J40" s="10">
        <f>K40-H40</f>
        <v/>
      </c>
      <c r="K40" s="10" t="n">
        <v>516</v>
      </c>
      <c r="L40" s="11">
        <f>K40/$D$40</f>
        <v/>
      </c>
      <c r="M40" s="10">
        <f>N40-K40</f>
        <v/>
      </c>
      <c r="N40" s="10" t="n">
        <v>516</v>
      </c>
      <c r="O40" s="11">
        <f>N40/$D$40</f>
        <v/>
      </c>
      <c r="P40" s="10">
        <f>Q40-N40</f>
        <v/>
      </c>
      <c r="Q40" s="10" t="n">
        <v>516</v>
      </c>
      <c r="R40" s="11">
        <f>Q40/$D$40</f>
        <v/>
      </c>
      <c r="S40" s="12">
        <f>T40-Q40</f>
        <v/>
      </c>
      <c r="T40" s="12" t="n">
        <v>516</v>
      </c>
      <c r="U40" s="13">
        <f>T40/$D$40</f>
        <v/>
      </c>
      <c r="V40" s="8" t="inlineStr">
        <is>
          <t>Latest sales - Block A: 169 units, Block B: 173 units, Block C: 174 units</t>
        </is>
      </c>
    </row>
    <row r="41">
      <c r="A41" s="7" t="n">
        <v>37</v>
      </c>
      <c r="B41" s="8" t="inlineStr">
        <is>
          <t>Aspen/Rumah Perakku III (Phase 4)</t>
        </is>
      </c>
      <c r="C41" s="9" t="n">
        <v>45558</v>
      </c>
      <c r="D41" s="10" t="n">
        <v>210</v>
      </c>
      <c r="E41" s="7" t="inlineStr">
        <is>
          <t>9294-68</t>
        </is>
      </c>
      <c r="F41" s="8" t="inlineStr">
        <is>
          <t>SCIENTEX QUATARI SDN. BHD.</t>
        </is>
      </c>
      <c r="G41" s="10" t="n"/>
      <c r="H41" s="10" t="n">
        <v>210</v>
      </c>
      <c r="I41" s="11">
        <f>H41/$D$41</f>
        <v/>
      </c>
      <c r="J41" s="10">
        <f>K41-H41</f>
        <v/>
      </c>
      <c r="K41" s="10" t="n">
        <v>210</v>
      </c>
      <c r="L41" s="11">
        <f>K41/$D$41</f>
        <v/>
      </c>
      <c r="M41" s="10">
        <f>N41-K41</f>
        <v/>
      </c>
      <c r="N41" s="10" t="n">
        <v>210</v>
      </c>
      <c r="O41" s="11">
        <f>N41/$D$41</f>
        <v/>
      </c>
      <c r="P41" s="10">
        <f>Q41-N41</f>
        <v/>
      </c>
      <c r="Q41" s="10" t="n">
        <v>210</v>
      </c>
      <c r="R41" s="11">
        <f>Q41/$D$41</f>
        <v/>
      </c>
      <c r="S41" s="12">
        <f>T41-Q41</f>
        <v/>
      </c>
      <c r="T41" s="12" t="n">
        <v>210</v>
      </c>
      <c r="U41" s="13">
        <f>T41/$D$41</f>
        <v/>
      </c>
      <c r="V41" s="8" t="inlineStr"/>
    </row>
    <row r="42">
      <c r="A42" s="7" t="n">
        <v>38</v>
      </c>
      <c r="B42" s="8" t="inlineStr">
        <is>
          <t>The Sakura (SP33A)</t>
        </is>
      </c>
      <c r="C42" s="9" t="n">
        <v>45607</v>
      </c>
      <c r="D42" s="10" t="n">
        <v>215</v>
      </c>
      <c r="E42" s="7" t="inlineStr">
        <is>
          <t>9294-69</t>
        </is>
      </c>
      <c r="F42" s="8" t="inlineStr">
        <is>
          <t>SCIENTEX QUATARI SDN. BHD.</t>
        </is>
      </c>
      <c r="G42" s="10" t="n"/>
      <c r="H42" s="10" t="n">
        <v>215</v>
      </c>
      <c r="I42" s="11">
        <f>H42/$D$42</f>
        <v/>
      </c>
      <c r="J42" s="10">
        <f>K42-H42</f>
        <v/>
      </c>
      <c r="K42" s="10" t="n">
        <v>215</v>
      </c>
      <c r="L42" s="11">
        <f>K42/$D$42</f>
        <v/>
      </c>
      <c r="M42" s="10">
        <f>N42-K42</f>
        <v/>
      </c>
      <c r="N42" s="10" t="n">
        <v>215</v>
      </c>
      <c r="O42" s="11">
        <f>N42/$D$42</f>
        <v/>
      </c>
      <c r="P42" s="10">
        <f>Q42-N42</f>
        <v/>
      </c>
      <c r="Q42" s="10" t="n">
        <v>215</v>
      </c>
      <c r="R42" s="11">
        <f>Q42/$D$42</f>
        <v/>
      </c>
      <c r="S42" s="12">
        <f>T42-Q42</f>
        <v/>
      </c>
      <c r="T42" s="12" t="n">
        <v>215</v>
      </c>
      <c r="U42" s="13">
        <f>T42/$D$42</f>
        <v/>
      </c>
      <c r="V42" s="8" t="inlineStr"/>
    </row>
    <row r="43">
      <c r="A43" s="7" t="n">
        <v>39</v>
      </c>
      <c r="B43" s="8" t="inlineStr">
        <is>
          <t>Sentrio Residences (SN12B)</t>
        </is>
      </c>
      <c r="C43" s="9" t="n">
        <v>45666</v>
      </c>
      <c r="D43" s="10" t="n">
        <v>522</v>
      </c>
      <c r="E43" s="7" t="inlineStr">
        <is>
          <t>9294-70</t>
        </is>
      </c>
      <c r="F43" s="8" t="inlineStr">
        <is>
          <t>SCIENTEX QUATARI SDN. BHD.</t>
        </is>
      </c>
      <c r="G43" s="10" t="n"/>
      <c r="H43" s="10" t="n">
        <v>520</v>
      </c>
      <c r="I43" s="11">
        <f>H43/$D$43</f>
        <v/>
      </c>
      <c r="J43" s="10">
        <f>K43-H43</f>
        <v/>
      </c>
      <c r="K43" s="10" t="n">
        <v>520</v>
      </c>
      <c r="L43" s="11">
        <f>K43/$D$43</f>
        <v/>
      </c>
      <c r="M43" s="10">
        <f>N43-K43</f>
        <v/>
      </c>
      <c r="N43" s="10" t="n">
        <v>520</v>
      </c>
      <c r="O43" s="11">
        <f>N43/$D$43</f>
        <v/>
      </c>
      <c r="P43" s="10">
        <f>Q43-N43</f>
        <v/>
      </c>
      <c r="Q43" s="10" t="n">
        <v>520</v>
      </c>
      <c r="R43" s="11">
        <f>Q43/$D$43</f>
        <v/>
      </c>
      <c r="S43" s="12">
        <f>T43-Q43</f>
        <v/>
      </c>
      <c r="T43" s="12" t="n">
        <v>521</v>
      </c>
      <c r="U43" s="13">
        <f>T43/$D$43</f>
        <v/>
      </c>
      <c r="V43" s="8" t="inlineStr">
        <is>
          <t>Latest sales - Block D: 173 units, Block E: 174 units, Block F: 174 units</t>
        </is>
      </c>
    </row>
    <row r="44">
      <c r="A44" s="7" t="n">
        <v>40</v>
      </c>
      <c r="B44" s="8" t="inlineStr">
        <is>
          <t>Crocus (Phase 3)</t>
        </is>
      </c>
      <c r="C44" s="9" t="n">
        <v>45673</v>
      </c>
      <c r="D44" s="10" t="n">
        <v>115</v>
      </c>
      <c r="E44" s="7" t="inlineStr">
        <is>
          <t>9294-71</t>
        </is>
      </c>
      <c r="F44" s="8" t="inlineStr">
        <is>
          <t>SCIENTEX QUATARI SDN. BHD.</t>
        </is>
      </c>
      <c r="G44" s="10" t="n"/>
      <c r="H44" s="10" t="n">
        <v>114</v>
      </c>
      <c r="I44" s="11">
        <f>H44/$D$44</f>
        <v/>
      </c>
      <c r="J44" s="10">
        <f>K44-H44</f>
        <v/>
      </c>
      <c r="K44" s="10" t="n">
        <v>114</v>
      </c>
      <c r="L44" s="11">
        <f>K44/$D$44</f>
        <v/>
      </c>
      <c r="M44" s="10">
        <f>N44-K44</f>
        <v/>
      </c>
      <c r="N44" s="10" t="n">
        <v>114</v>
      </c>
      <c r="O44" s="11">
        <f>N44/$D$44</f>
        <v/>
      </c>
      <c r="P44" s="10">
        <f>Q44-N44</f>
        <v/>
      </c>
      <c r="Q44" s="10" t="n">
        <v>114</v>
      </c>
      <c r="R44" s="11">
        <f>Q44/$D$44</f>
        <v/>
      </c>
      <c r="S44" s="12">
        <f>T44-Q44</f>
        <v/>
      </c>
      <c r="T44" s="12" t="n">
        <v>114</v>
      </c>
      <c r="U44" s="13">
        <f>T44/$D$44</f>
        <v/>
      </c>
      <c r="V44" s="8" t="inlineStr"/>
    </row>
    <row r="45">
      <c r="A45" s="7" t="n">
        <v>41</v>
      </c>
      <c r="B45" s="8" t="inlineStr">
        <is>
          <t>Tulip or Jasmine II (both 252u)</t>
        </is>
      </c>
      <c r="C45" s="9" t="n">
        <v>45688</v>
      </c>
      <c r="D45" s="10" t="n">
        <v>252</v>
      </c>
      <c r="E45" s="7" t="inlineStr">
        <is>
          <t>9294-72</t>
        </is>
      </c>
      <c r="F45" s="8" t="inlineStr">
        <is>
          <t>SCIENTEX QUATARI SDN. BHD.</t>
        </is>
      </c>
      <c r="G45" s="10" t="n"/>
      <c r="H45" s="10" t="n">
        <v>252</v>
      </c>
      <c r="I45" s="11">
        <f>H45/$D$45</f>
        <v/>
      </c>
      <c r="J45" s="10">
        <f>K45-H45</f>
        <v/>
      </c>
      <c r="K45" s="10" t="n">
        <v>252</v>
      </c>
      <c r="L45" s="11">
        <f>K45/$D$45</f>
        <v/>
      </c>
      <c r="M45" s="10">
        <f>N45-K45</f>
        <v/>
      </c>
      <c r="N45" s="10" t="n">
        <v>252</v>
      </c>
      <c r="O45" s="11">
        <f>N45/$D$45</f>
        <v/>
      </c>
      <c r="P45" s="10">
        <f>Q45-N45</f>
        <v/>
      </c>
      <c r="Q45" s="10" t="n">
        <v>252</v>
      </c>
      <c r="R45" s="11">
        <f>Q45/$D$45</f>
        <v/>
      </c>
      <c r="S45" s="12">
        <f>T45-Q45</f>
        <v/>
      </c>
      <c r="T45" s="12" t="n">
        <v>252</v>
      </c>
      <c r="U45" s="13">
        <f>T45/$D$45</f>
        <v/>
      </c>
      <c r="V45" s="8" t="inlineStr"/>
    </row>
    <row r="46">
      <c r="A46" s="7" t="n">
        <v>42</v>
      </c>
      <c r="B46" s="8" t="inlineStr">
        <is>
          <t>The Sakura 2 (SP33B)</t>
        </is>
      </c>
      <c r="C46" s="9" t="n">
        <v>45708</v>
      </c>
      <c r="D46" s="10" t="n">
        <v>207</v>
      </c>
      <c r="E46" s="7" t="inlineStr">
        <is>
          <t>9294-74</t>
        </is>
      </c>
      <c r="F46" s="8" t="inlineStr">
        <is>
          <t>SCIENTEX QUATARI SDN. BHD.</t>
        </is>
      </c>
      <c r="G46" s="10" t="n"/>
      <c r="H46" s="10" t="n">
        <v>207</v>
      </c>
      <c r="I46" s="11">
        <f>H46/$D$46</f>
        <v/>
      </c>
      <c r="J46" s="10">
        <f>K46-H46</f>
        <v/>
      </c>
      <c r="K46" s="10" t="n">
        <v>207</v>
      </c>
      <c r="L46" s="11">
        <f>K46/$D$46</f>
        <v/>
      </c>
      <c r="M46" s="10">
        <f>N46-K46</f>
        <v/>
      </c>
      <c r="N46" s="10" t="n">
        <v>207</v>
      </c>
      <c r="O46" s="11">
        <f>N46/$D$46</f>
        <v/>
      </c>
      <c r="P46" s="10">
        <f>Q46-N46</f>
        <v/>
      </c>
      <c r="Q46" s="10" t="n">
        <v>207</v>
      </c>
      <c r="R46" s="11">
        <f>Q46/$D$46</f>
        <v/>
      </c>
      <c r="S46" s="12">
        <f>T46-Q46</f>
        <v/>
      </c>
      <c r="T46" s="12" t="n">
        <v>207</v>
      </c>
      <c r="U46" s="13">
        <f>T46/$D$46</f>
        <v/>
      </c>
      <c r="V46" s="8" t="inlineStr"/>
    </row>
    <row r="47">
      <c r="A47" s="7" t="n">
        <v>43</v>
      </c>
      <c r="B47" s="8" t="inlineStr">
        <is>
          <t>Acacia</t>
        </is>
      </c>
      <c r="C47" s="9" t="n">
        <v>45720</v>
      </c>
      <c r="D47" s="10" t="n">
        <v>238</v>
      </c>
      <c r="E47" s="7" t="inlineStr">
        <is>
          <t>9294-75</t>
        </is>
      </c>
      <c r="F47" s="8" t="inlineStr">
        <is>
          <t>SCIENTEX QUATARI SDN. BHD.</t>
        </is>
      </c>
      <c r="G47" s="10" t="n"/>
      <c r="H47" s="10" t="n">
        <v>218</v>
      </c>
      <c r="I47" s="11">
        <f>H47/$D$47</f>
        <v/>
      </c>
      <c r="J47" s="10">
        <f>K47-H47</f>
        <v/>
      </c>
      <c r="K47" s="10" t="n">
        <v>221</v>
      </c>
      <c r="L47" s="11">
        <f>K47/$D$47</f>
        <v/>
      </c>
      <c r="M47" s="10">
        <f>N47-K47</f>
        <v/>
      </c>
      <c r="N47" s="10" t="n">
        <v>224</v>
      </c>
      <c r="O47" s="11">
        <f>N47/$D$47</f>
        <v/>
      </c>
      <c r="P47" s="10">
        <f>Q47-N47</f>
        <v/>
      </c>
      <c r="Q47" s="10" t="n">
        <v>226</v>
      </c>
      <c r="R47" s="11">
        <f>Q47/$D$47</f>
        <v/>
      </c>
      <c r="S47" s="12">
        <f>T47-Q47</f>
        <v/>
      </c>
      <c r="T47" s="12" t="n">
        <v>225</v>
      </c>
      <c r="U47" s="13">
        <f>T47/$D$47</f>
        <v/>
      </c>
      <c r="V47" s="8" t="inlineStr"/>
    </row>
    <row r="48">
      <c r="A48" s="7" t="n">
        <v>44</v>
      </c>
      <c r="B48" s="8" t="inlineStr">
        <is>
          <t>Edelweiss/Rumah Perakku II (Phase 5)</t>
        </is>
      </c>
      <c r="C48" s="9" t="n">
        <v>45763</v>
      </c>
      <c r="D48" s="10" t="n">
        <v>134</v>
      </c>
      <c r="E48" s="7" t="inlineStr">
        <is>
          <t>9294-76</t>
        </is>
      </c>
      <c r="F48" s="8" t="inlineStr">
        <is>
          <t>SCIENTEX QUATARI SDN. BHD.</t>
        </is>
      </c>
      <c r="G48" s="10" t="n"/>
      <c r="H48" s="10" t="n">
        <v>117</v>
      </c>
      <c r="I48" s="11">
        <f>H48/$D$48</f>
        <v/>
      </c>
      <c r="J48" s="10">
        <f>K48-H48</f>
        <v/>
      </c>
      <c r="K48" s="10" t="n">
        <v>117</v>
      </c>
      <c r="L48" s="11">
        <f>K48/$D$48</f>
        <v/>
      </c>
      <c r="M48" s="10">
        <f>N48-K48</f>
        <v/>
      </c>
      <c r="N48" s="10" t="n">
        <v>117</v>
      </c>
      <c r="O48" s="11">
        <f>N48/$D$48</f>
        <v/>
      </c>
      <c r="P48" s="10">
        <f>Q48-N48</f>
        <v/>
      </c>
      <c r="Q48" s="10" t="n">
        <v>118</v>
      </c>
      <c r="R48" s="11">
        <f>Q48/$D$48</f>
        <v/>
      </c>
      <c r="S48" s="12">
        <f>T48-Q48</f>
        <v/>
      </c>
      <c r="T48" s="12" t="n">
        <v>121</v>
      </c>
      <c r="U48" s="13">
        <f>T48/$D$48</f>
        <v/>
      </c>
      <c r="V48" s="8" t="inlineStr"/>
    </row>
    <row r="49">
      <c r="A49" s="7" t="n">
        <v>45</v>
      </c>
      <c r="B49" s="8" t="inlineStr">
        <is>
          <t>RMMJ(C) SP36A</t>
        </is>
      </c>
      <c r="C49" s="9" t="n">
        <v>45819</v>
      </c>
      <c r="D49" s="10" t="n">
        <v>124</v>
      </c>
      <c r="E49" s="7" t="inlineStr">
        <is>
          <t>9294-77</t>
        </is>
      </c>
      <c r="F49" s="8" t="inlineStr">
        <is>
          <t>SCIENTEX QUATARI SDN. BHD.</t>
        </is>
      </c>
      <c r="G49" s="10" t="n"/>
      <c r="H49" s="10" t="n">
        <v>73</v>
      </c>
      <c r="I49" s="11">
        <f>H49/$D$49</f>
        <v/>
      </c>
      <c r="J49" s="10">
        <f>K49-H49</f>
        <v/>
      </c>
      <c r="K49" s="10" t="n">
        <v>78</v>
      </c>
      <c r="L49" s="11">
        <f>K49/$D$49</f>
        <v/>
      </c>
      <c r="M49" s="10">
        <f>N49-K49</f>
        <v/>
      </c>
      <c r="N49" s="10" t="n">
        <v>80</v>
      </c>
      <c r="O49" s="11">
        <f>N49/$D$49</f>
        <v/>
      </c>
      <c r="P49" s="10">
        <f>Q49-N49</f>
        <v/>
      </c>
      <c r="Q49" s="10" t="n">
        <v>81</v>
      </c>
      <c r="R49" s="11">
        <f>Q49/$D$49</f>
        <v/>
      </c>
      <c r="S49" s="12">
        <f>T49-Q49</f>
        <v/>
      </c>
      <c r="T49" s="12" t="n">
        <v>82</v>
      </c>
      <c r="U49" s="13">
        <f>T49/$D$49</f>
        <v/>
      </c>
      <c r="V49" s="8" t="inlineStr"/>
    </row>
    <row r="50">
      <c r="A50" s="7" t="n">
        <v>46</v>
      </c>
      <c r="B50" s="8" t="inlineStr">
        <is>
          <t>Aurora (SP35)</t>
        </is>
      </c>
      <c r="C50" s="9" t="n">
        <v>45839</v>
      </c>
      <c r="D50" s="10" t="n">
        <v>200</v>
      </c>
      <c r="E50" s="7" t="inlineStr">
        <is>
          <t>9294-78</t>
        </is>
      </c>
      <c r="F50" s="8" t="inlineStr">
        <is>
          <t>SCIENTEX QUATARI SDN. BHD.</t>
        </is>
      </c>
      <c r="G50" s="10" t="n"/>
      <c r="H50" s="10" t="n">
        <v>200</v>
      </c>
      <c r="I50" s="11">
        <f>H50/$D$50</f>
        <v/>
      </c>
      <c r="J50" s="10">
        <f>K50-H50</f>
        <v/>
      </c>
      <c r="K50" s="10" t="n">
        <v>200</v>
      </c>
      <c r="L50" s="11">
        <f>K50/$D$50</f>
        <v/>
      </c>
      <c r="M50" s="10">
        <f>N50-K50</f>
        <v/>
      </c>
      <c r="N50" s="10" t="n">
        <v>200</v>
      </c>
      <c r="O50" s="11">
        <f>N50/$D$50</f>
        <v/>
      </c>
      <c r="P50" s="10">
        <f>Q50-N50</f>
        <v/>
      </c>
      <c r="Q50" s="10" t="n">
        <v>200</v>
      </c>
      <c r="R50" s="11">
        <f>Q50/$D$50</f>
        <v/>
      </c>
      <c r="S50" s="12">
        <f>T50-Q50</f>
        <v/>
      </c>
      <c r="T50" s="12" t="n">
        <v>200</v>
      </c>
      <c r="U50" s="13">
        <f>T50/$D$50</f>
        <v/>
      </c>
      <c r="V50" s="8" t="inlineStr"/>
    </row>
    <row r="51">
      <c r="A51" s="7" t="n">
        <v>47</v>
      </c>
      <c r="B51" s="8" t="inlineStr">
        <is>
          <t>RMMJ(C) SP36B</t>
        </is>
      </c>
      <c r="C51" s="9" t="n">
        <v>45839</v>
      </c>
      <c r="D51" s="10" t="n">
        <v>142</v>
      </c>
      <c r="E51" s="7" t="inlineStr">
        <is>
          <t>9294-79</t>
        </is>
      </c>
      <c r="F51" s="8" t="inlineStr">
        <is>
          <t>SCIENTEX QUATARI SDN. BHD.</t>
        </is>
      </c>
      <c r="G51" s="10" t="n"/>
      <c r="H51" s="10" t="n">
        <v>97</v>
      </c>
      <c r="I51" s="11">
        <f>H51/$D$51</f>
        <v/>
      </c>
      <c r="J51" s="10">
        <f>K51-H51</f>
        <v/>
      </c>
      <c r="K51" s="10" t="n">
        <v>97</v>
      </c>
      <c r="L51" s="11">
        <f>K51/$D$51</f>
        <v/>
      </c>
      <c r="M51" s="10">
        <f>N51-K51</f>
        <v/>
      </c>
      <c r="N51" s="10" t="n">
        <v>101</v>
      </c>
      <c r="O51" s="11">
        <f>N51/$D$51</f>
        <v/>
      </c>
      <c r="P51" s="10">
        <f>Q51-N51</f>
        <v/>
      </c>
      <c r="Q51" s="10" t="n">
        <v>105</v>
      </c>
      <c r="R51" s="11">
        <f>Q51/$D$51</f>
        <v/>
      </c>
      <c r="S51" s="12">
        <f>T51-Q51</f>
        <v/>
      </c>
      <c r="T51" s="12" t="n">
        <v>107</v>
      </c>
      <c r="U51" s="13">
        <f>T51/$D$51</f>
        <v/>
      </c>
      <c r="V51" s="8" t="inlineStr"/>
    </row>
    <row r="52">
      <c r="A52" s="7" t="n">
        <v>48</v>
      </c>
      <c r="B52" s="8" t="inlineStr">
        <is>
          <t>Jasmine</t>
        </is>
      </c>
      <c r="C52" s="9" t="n">
        <v>45856</v>
      </c>
      <c r="D52" s="10" t="n">
        <v>271</v>
      </c>
      <c r="E52" s="7" t="inlineStr">
        <is>
          <t>9294-80</t>
        </is>
      </c>
      <c r="F52" s="8" t="inlineStr">
        <is>
          <t>SCIENTEX QUATARI SDN. BHD.</t>
        </is>
      </c>
      <c r="G52" s="10" t="n"/>
      <c r="H52" s="10" t="n">
        <v>257</v>
      </c>
      <c r="I52" s="11">
        <f>H52/$D$52</f>
        <v/>
      </c>
      <c r="J52" s="10">
        <f>K52-H52</f>
        <v/>
      </c>
      <c r="K52" s="10" t="n">
        <v>257</v>
      </c>
      <c r="L52" s="11">
        <f>K52/$D$52</f>
        <v/>
      </c>
      <c r="M52" s="10">
        <f>N52-K52</f>
        <v/>
      </c>
      <c r="N52" s="10" t="n">
        <v>257</v>
      </c>
      <c r="O52" s="11">
        <f>N52/$D$52</f>
        <v/>
      </c>
      <c r="P52" s="10">
        <f>Q52-N52</f>
        <v/>
      </c>
      <c r="Q52" s="10" t="n">
        <v>257</v>
      </c>
      <c r="R52" s="11">
        <f>Q52/$D$52</f>
        <v/>
      </c>
      <c r="S52" s="12">
        <f>T52-Q52</f>
        <v/>
      </c>
      <c r="T52" s="12" t="n">
        <v>257</v>
      </c>
      <c r="U52" s="13">
        <f>T52/$D$52</f>
        <v/>
      </c>
      <c r="V52" s="8" t="inlineStr"/>
    </row>
    <row r="53">
      <c r="A53" s="7" t="n">
        <v>49</v>
      </c>
      <c r="B53" s="8" t="inlineStr">
        <is>
          <t>Tulip II</t>
        </is>
      </c>
      <c r="C53" s="9" t="n">
        <v>45937</v>
      </c>
      <c r="D53" s="10" t="n">
        <v>234</v>
      </c>
      <c r="E53" s="7" t="inlineStr">
        <is>
          <t>9294-81</t>
        </is>
      </c>
      <c r="F53" s="8" t="inlineStr">
        <is>
          <t>SCIENTEX QUATARI SDN. BHD.</t>
        </is>
      </c>
      <c r="G53" s="10" t="n"/>
      <c r="H53" s="10" t="n">
        <v>197</v>
      </c>
      <c r="I53" s="11">
        <f>H53/$D$53</f>
        <v/>
      </c>
      <c r="J53" s="10">
        <f>K53-H53</f>
        <v/>
      </c>
      <c r="K53" s="10" t="n">
        <v>198</v>
      </c>
      <c r="L53" s="11">
        <f>K53/$D$53</f>
        <v/>
      </c>
      <c r="M53" s="10">
        <f>N53-K53</f>
        <v/>
      </c>
      <c r="N53" s="10" t="n">
        <v>207</v>
      </c>
      <c r="O53" s="11">
        <f>N53/$D$53</f>
        <v/>
      </c>
      <c r="P53" s="10">
        <f>Q53-N53</f>
        <v/>
      </c>
      <c r="Q53" s="10" t="n">
        <v>215</v>
      </c>
      <c r="R53" s="11">
        <f>Q53/$D$53</f>
        <v/>
      </c>
      <c r="S53" s="12">
        <f>T53-Q53</f>
        <v/>
      </c>
      <c r="T53" s="12" t="n">
        <v>215</v>
      </c>
      <c r="U53" s="13">
        <f>T53/$D$53</f>
        <v/>
      </c>
      <c r="V53" s="8" t="inlineStr"/>
    </row>
    <row r="54">
      <c r="A54" s="7" t="n">
        <v>50</v>
      </c>
      <c r="B54" s="8" t="inlineStr">
        <is>
          <t>Flaxlily</t>
        </is>
      </c>
      <c r="C54" s="9" t="n">
        <v>46015</v>
      </c>
      <c r="D54" s="10" t="n">
        <v>64</v>
      </c>
      <c r="E54" s="7" t="inlineStr">
        <is>
          <t>9294-82</t>
        </is>
      </c>
      <c r="F54" s="8" t="inlineStr">
        <is>
          <t>SCIENTEX QUATARI SDN. BHD.</t>
        </is>
      </c>
      <c r="G54" s="10" t="n"/>
      <c r="H54" s="10" t="n">
        <v>46</v>
      </c>
      <c r="I54" s="11">
        <f>H54/$D$54</f>
        <v/>
      </c>
      <c r="J54" s="10">
        <f>K54-H54</f>
        <v/>
      </c>
      <c r="K54" s="10" t="n">
        <v>46</v>
      </c>
      <c r="L54" s="11">
        <f>K54/$D$54</f>
        <v/>
      </c>
      <c r="M54" s="10">
        <f>N54-K54</f>
        <v/>
      </c>
      <c r="N54" s="10" t="n">
        <v>46</v>
      </c>
      <c r="O54" s="11">
        <f>N54/$D$54</f>
        <v/>
      </c>
      <c r="P54" s="10">
        <f>Q54-N54</f>
        <v/>
      </c>
      <c r="Q54" s="10" t="n">
        <v>46</v>
      </c>
      <c r="R54" s="11">
        <f>Q54/$D$54</f>
        <v/>
      </c>
      <c r="S54" s="12">
        <f>T54-Q54</f>
        <v/>
      </c>
      <c r="T54" s="12" t="n">
        <v>47</v>
      </c>
      <c r="U54" s="13">
        <f>T54/$D$54</f>
        <v/>
      </c>
      <c r="V54" s="8" t="inlineStr"/>
    </row>
    <row r="55">
      <c r="A55" s="7" t="n">
        <v>51</v>
      </c>
      <c r="B55" s="8" t="inlineStr">
        <is>
          <t>Aspen/Rumah Perakku III (Phase 4)</t>
        </is>
      </c>
      <c r="C55" s="9" t="n">
        <v>46027</v>
      </c>
      <c r="D55" s="10" t="n">
        <v>210</v>
      </c>
      <c r="E55" s="7" t="inlineStr">
        <is>
          <t>9294-83</t>
        </is>
      </c>
      <c r="F55" s="8" t="inlineStr">
        <is>
          <t>SCIENTEX QUATARI SDN. BHD.</t>
        </is>
      </c>
      <c r="G55" s="10" t="n"/>
      <c r="H55" s="10" t="n">
        <v>87</v>
      </c>
      <c r="I55" s="11">
        <f>H55/$D$55</f>
        <v/>
      </c>
      <c r="J55" s="10">
        <f>K55-H55</f>
        <v/>
      </c>
      <c r="K55" s="10" t="n">
        <v>89</v>
      </c>
      <c r="L55" s="11">
        <f>K55/$D$55</f>
        <v/>
      </c>
      <c r="M55" s="10">
        <f>N55-K55</f>
        <v/>
      </c>
      <c r="N55" s="10" t="n">
        <v>92</v>
      </c>
      <c r="O55" s="11">
        <f>N55/$D$55</f>
        <v/>
      </c>
      <c r="P55" s="10">
        <f>Q55-N55</f>
        <v/>
      </c>
      <c r="Q55" s="10" t="n">
        <v>94</v>
      </c>
      <c r="R55" s="11">
        <f>Q55/$D$55</f>
        <v/>
      </c>
      <c r="S55" s="12">
        <f>T55-Q55</f>
        <v/>
      </c>
      <c r="T55" s="12" t="n">
        <v>94</v>
      </c>
      <c r="U55" s="13">
        <f>T55/$D$55</f>
        <v/>
      </c>
      <c r="V55" s="8" t="inlineStr"/>
    </row>
    <row r="56">
      <c r="A56" s="7" t="n">
        <v>52</v>
      </c>
      <c r="B56" s="8" t="inlineStr">
        <is>
          <t>Daisy (SP41B)</t>
        </is>
      </c>
      <c r="C56" s="9" t="n">
        <v>46027</v>
      </c>
      <c r="D56" s="10" t="n">
        <v>246</v>
      </c>
      <c r="E56" s="7" t="inlineStr">
        <is>
          <t>9294-84</t>
        </is>
      </c>
      <c r="F56" s="8" t="inlineStr">
        <is>
          <t>SCIENTEX QUATARI SDN. BHD.</t>
        </is>
      </c>
      <c r="G56" s="10" t="n"/>
      <c r="H56" s="10" t="n">
        <v>235</v>
      </c>
      <c r="I56" s="11">
        <f>H56/$D$56</f>
        <v/>
      </c>
      <c r="J56" s="10">
        <f>K56-H56</f>
        <v/>
      </c>
      <c r="K56" s="10" t="n">
        <v>235</v>
      </c>
      <c r="L56" s="11">
        <f>K56/$D$56</f>
        <v/>
      </c>
      <c r="M56" s="10">
        <f>N56-K56</f>
        <v/>
      </c>
      <c r="N56" s="10" t="n">
        <v>235</v>
      </c>
      <c r="O56" s="11">
        <f>N56/$D$56</f>
        <v/>
      </c>
      <c r="P56" s="10">
        <f>Q56-N56</f>
        <v/>
      </c>
      <c r="Q56" s="10" t="n">
        <v>235</v>
      </c>
      <c r="R56" s="11">
        <f>Q56/$D$56</f>
        <v/>
      </c>
      <c r="S56" s="12">
        <f>T56-Q56</f>
        <v/>
      </c>
      <c r="T56" s="12" t="n">
        <v>236</v>
      </c>
      <c r="U56" s="13">
        <f>T56/$D$56</f>
        <v/>
      </c>
      <c r="V56" s="8" t="inlineStr"/>
    </row>
    <row r="57">
      <c r="A57" s="7" t="n">
        <v>53</v>
      </c>
      <c r="B57" s="8" t="inlineStr">
        <is>
          <t>Tulip or Jasmine II (both 252u)</t>
        </is>
      </c>
      <c r="C57" s="9" t="n">
        <v>46057</v>
      </c>
      <c r="D57" s="10" t="n">
        <v>252</v>
      </c>
      <c r="E57" s="7" t="inlineStr">
        <is>
          <t>9294-85</t>
        </is>
      </c>
      <c r="F57" s="8" t="inlineStr">
        <is>
          <t>SCIENTEX QUATARI SDN. BHD.</t>
        </is>
      </c>
      <c r="G57" s="10" t="n"/>
      <c r="H57" s="10" t="n">
        <v>88</v>
      </c>
      <c r="I57" s="11">
        <f>H57/$D$57</f>
        <v/>
      </c>
      <c r="J57" s="10">
        <f>K57-H57</f>
        <v/>
      </c>
      <c r="K57" s="10" t="n">
        <v>91</v>
      </c>
      <c r="L57" s="11">
        <f>K57/$D$57</f>
        <v/>
      </c>
      <c r="M57" s="10">
        <f>N57-K57</f>
        <v/>
      </c>
      <c r="N57" s="10" t="n">
        <v>97</v>
      </c>
      <c r="O57" s="11">
        <f>N57/$D$57</f>
        <v/>
      </c>
      <c r="P57" s="10">
        <f>Q57-N57</f>
        <v/>
      </c>
      <c r="Q57" s="10" t="n">
        <v>97</v>
      </c>
      <c r="R57" s="11">
        <f>Q57/$D$57</f>
        <v/>
      </c>
      <c r="S57" s="12">
        <f>T57-Q57</f>
        <v/>
      </c>
      <c r="T57" s="12" t="n">
        <v>100</v>
      </c>
      <c r="U57" s="13">
        <f>T57/$D$57</f>
        <v/>
      </c>
      <c r="V57" s="8" t="inlineStr"/>
    </row>
    <row r="58">
      <c r="A58" s="7" t="n">
        <v>54</v>
      </c>
      <c r="B58" s="8" t="inlineStr">
        <is>
          <t>Iris (SP42B)</t>
        </is>
      </c>
      <c r="C58" s="9" t="n">
        <v>46079</v>
      </c>
      <c r="D58" s="10" t="n">
        <v>240</v>
      </c>
      <c r="E58" s="7" t="inlineStr">
        <is>
          <t>9294-86</t>
        </is>
      </c>
      <c r="F58" s="8" t="inlineStr">
        <is>
          <t>SCIENTEX QUATARI SDN. BHD.</t>
        </is>
      </c>
      <c r="G58" s="10" t="n"/>
      <c r="H58" s="10" t="n">
        <v>186</v>
      </c>
      <c r="I58" s="11">
        <f>H58/$D$58</f>
        <v/>
      </c>
      <c r="J58" s="10">
        <f>K58-H58</f>
        <v/>
      </c>
      <c r="K58" s="10" t="n">
        <v>187</v>
      </c>
      <c r="L58" s="11">
        <f>K58/$D$58</f>
        <v/>
      </c>
      <c r="M58" s="10">
        <f>N58-K58</f>
        <v/>
      </c>
      <c r="N58" s="10" t="n">
        <v>192</v>
      </c>
      <c r="O58" s="11">
        <f>N58/$D$58</f>
        <v/>
      </c>
      <c r="P58" s="10">
        <f>Q58-N58</f>
        <v/>
      </c>
      <c r="Q58" s="10" t="n">
        <v>194</v>
      </c>
      <c r="R58" s="11">
        <f>Q58/$D$58</f>
        <v/>
      </c>
      <c r="S58" s="12">
        <f>T58-Q58</f>
        <v/>
      </c>
      <c r="T58" s="12" t="n">
        <v>195</v>
      </c>
      <c r="U58" s="13">
        <f>T58/$D$58</f>
        <v/>
      </c>
      <c r="V58" s="8" t="inlineStr"/>
    </row>
    <row r="59">
      <c r="A59" s="7" t="n">
        <v>55</v>
      </c>
      <c r="B59" s="8" t="inlineStr">
        <is>
          <t>Sentrio Residences 2 (SN13A)</t>
        </is>
      </c>
      <c r="C59" s="9" t="n">
        <v>46192</v>
      </c>
      <c r="D59" s="10" t="n">
        <v>690</v>
      </c>
      <c r="E59" s="7" t="inlineStr">
        <is>
          <t>9294-88</t>
        </is>
      </c>
      <c r="F59" s="8" t="inlineStr">
        <is>
          <t>SCIENTEX QUATARI SDN. BHD.</t>
        </is>
      </c>
      <c r="G59" s="10" t="n"/>
      <c r="H59" s="10" t="n">
        <v>133</v>
      </c>
      <c r="I59" s="11">
        <f>H59/$D$59</f>
        <v/>
      </c>
      <c r="J59" s="10">
        <f>K59-H59</f>
        <v/>
      </c>
      <c r="K59" s="10" t="n">
        <v>138</v>
      </c>
      <c r="L59" s="11">
        <f>K59/$D$59</f>
        <v/>
      </c>
      <c r="M59" s="10">
        <f>N59-K59</f>
        <v/>
      </c>
      <c r="N59" s="10" t="n">
        <v>149</v>
      </c>
      <c r="O59" s="11">
        <f>N59/$D$59</f>
        <v/>
      </c>
      <c r="P59" s="10">
        <f>Q59-N59</f>
        <v/>
      </c>
      <c r="Q59" s="10" t="n">
        <v>152</v>
      </c>
      <c r="R59" s="11">
        <f>Q59/$D$59</f>
        <v/>
      </c>
      <c r="S59" s="12">
        <f>T59-Q59</f>
        <v/>
      </c>
      <c r="T59" s="12" t="n">
        <v>168</v>
      </c>
      <c r="U59" s="13">
        <f>T59/$D$59</f>
        <v/>
      </c>
      <c r="V59" s="8" t="inlineStr">
        <is>
          <t>Latest sales - Block F: 36 units, Block G: 132 units</t>
        </is>
      </c>
    </row>
    <row r="60">
      <c r="A60" s="7" t="n">
        <v>56</v>
      </c>
      <c r="B60" s="8" t="inlineStr">
        <is>
          <t>Daisy</t>
        </is>
      </c>
      <c r="C60" s="9" t="n">
        <v>46202</v>
      </c>
      <c r="D60" s="10" t="n">
        <v>158</v>
      </c>
      <c r="E60" s="7" t="inlineStr">
        <is>
          <t>9294-89</t>
        </is>
      </c>
      <c r="F60" s="8" t="inlineStr">
        <is>
          <t>SCIENTEX QUATARI SDN. BHD.</t>
        </is>
      </c>
      <c r="G60" s="10" t="n"/>
      <c r="H60" s="10" t="n">
        <v>22</v>
      </c>
      <c r="I60" s="11">
        <f>H60/$D$60</f>
        <v/>
      </c>
      <c r="J60" s="10">
        <f>K60-H60</f>
        <v/>
      </c>
      <c r="K60" s="10" t="n">
        <v>27</v>
      </c>
      <c r="L60" s="11">
        <f>K60/$D$60</f>
        <v/>
      </c>
      <c r="M60" s="10">
        <f>N60-K60</f>
        <v/>
      </c>
      <c r="N60" s="10" t="n">
        <v>34</v>
      </c>
      <c r="O60" s="11">
        <f>N60/$D$60</f>
        <v/>
      </c>
      <c r="P60" s="10">
        <f>Q60-N60</f>
        <v/>
      </c>
      <c r="Q60" s="10" t="n">
        <v>39</v>
      </c>
      <c r="R60" s="11">
        <f>Q60/$D$60</f>
        <v/>
      </c>
      <c r="S60" s="12">
        <f>T60-Q60</f>
        <v/>
      </c>
      <c r="T60" s="12" t="n">
        <v>41</v>
      </c>
      <c r="U60" s="13">
        <f>T60/$D$60</f>
        <v/>
      </c>
      <c r="V60" s="8" t="inlineStr"/>
    </row>
    <row r="61">
      <c r="A61" s="7" t="n">
        <v>57</v>
      </c>
      <c r="B61" s="8" t="inlineStr">
        <is>
          <t>Rumah Mampu Milik MJ4</t>
        </is>
      </c>
      <c r="C61" s="9" t="n">
        <v>45415</v>
      </c>
      <c r="D61" s="10" t="n">
        <v>211</v>
      </c>
      <c r="E61" s="7" t="inlineStr">
        <is>
          <t>6575-43</t>
        </is>
      </c>
      <c r="F61" s="8" t="inlineStr">
        <is>
          <t>SCIENTEX HEIGHTS SDN. BHD.</t>
        </is>
      </c>
      <c r="G61" s="10" t="n"/>
      <c r="H61" s="10" t="n">
        <v>211</v>
      </c>
      <c r="I61" s="11">
        <f>H61/$D$61</f>
        <v/>
      </c>
      <c r="J61" s="10">
        <f>K61-H61</f>
        <v/>
      </c>
      <c r="K61" s="10" t="n">
        <v>211</v>
      </c>
      <c r="L61" s="11">
        <f>K61/$D$61</f>
        <v/>
      </c>
      <c r="M61" s="10">
        <f>N61-K61</f>
        <v/>
      </c>
      <c r="N61" s="10" t="n">
        <v>211</v>
      </c>
      <c r="O61" s="11">
        <f>N61/$D$61</f>
        <v/>
      </c>
      <c r="P61" s="10">
        <f>Q61-N61</f>
        <v/>
      </c>
      <c r="Q61" s="10" t="n">
        <v>211</v>
      </c>
      <c r="R61" s="11">
        <f>Q61/$D$61</f>
        <v/>
      </c>
      <c r="S61" s="12">
        <f>T61-Q61</f>
        <v/>
      </c>
      <c r="T61" s="12" t="n">
        <v>211</v>
      </c>
      <c r="U61" s="13">
        <f>T61/$D$61</f>
        <v/>
      </c>
      <c r="V61" s="8" t="inlineStr"/>
    </row>
    <row r="62">
      <c r="A62" s="7" t="n">
        <v>58</v>
      </c>
      <c r="B62" s="8" t="inlineStr">
        <is>
          <t>Erica 2 (MJ1a)</t>
        </is>
      </c>
      <c r="C62" s="9" t="n">
        <v>44819</v>
      </c>
      <c r="D62" s="10" t="n">
        <v>291</v>
      </c>
      <c r="E62" s="7" t="inlineStr">
        <is>
          <t>6575-31</t>
        </is>
      </c>
      <c r="F62" s="8" t="inlineStr">
        <is>
          <t>SCIENTEX HEIGHTS SDN. BHD.</t>
        </is>
      </c>
      <c r="G62" s="10" t="n"/>
      <c r="H62" s="10" t="n">
        <v>291</v>
      </c>
      <c r="I62" s="11">
        <f>H62/$D$62</f>
        <v/>
      </c>
      <c r="J62" s="10">
        <f>K62-H62</f>
        <v/>
      </c>
      <c r="K62" s="10" t="n">
        <v>291</v>
      </c>
      <c r="L62" s="11">
        <f>K62/$D$62</f>
        <v/>
      </c>
      <c r="M62" s="10">
        <f>N62-K62</f>
        <v/>
      </c>
      <c r="N62" s="10" t="n">
        <v>291</v>
      </c>
      <c r="O62" s="11">
        <f>N62/$D$62</f>
        <v/>
      </c>
      <c r="P62" s="10">
        <f>Q62-N62</f>
        <v/>
      </c>
      <c r="Q62" s="10" t="n">
        <v>291</v>
      </c>
      <c r="R62" s="11">
        <f>Q62/$D$62</f>
        <v/>
      </c>
      <c r="S62" s="12">
        <f>T62-Q62</f>
        <v/>
      </c>
      <c r="T62" s="12" t="n">
        <v>291</v>
      </c>
      <c r="U62" s="13">
        <f>T62/$D$62</f>
        <v/>
      </c>
      <c r="V62" s="8" t="inlineStr"/>
    </row>
    <row r="63">
      <c r="A63" s="7" t="n">
        <v>59</v>
      </c>
      <c r="B63" s="8" t="inlineStr">
        <is>
          <t>Rumah Mampu Milik MJ3</t>
        </is>
      </c>
      <c r="C63" s="9" t="n">
        <v>45114</v>
      </c>
      <c r="D63" s="10" t="n">
        <v>204</v>
      </c>
      <c r="E63" s="7" t="inlineStr">
        <is>
          <t>6575-39</t>
        </is>
      </c>
      <c r="F63" s="8" t="inlineStr">
        <is>
          <t>SCIENTEX HEIGHTS SDN. BHD.</t>
        </is>
      </c>
      <c r="G63" s="10" t="n"/>
      <c r="H63" s="10" t="n">
        <v>202</v>
      </c>
      <c r="I63" s="11">
        <f>H63/$D$63</f>
        <v/>
      </c>
      <c r="J63" s="10">
        <f>K63-H63</f>
        <v/>
      </c>
      <c r="K63" s="10" t="n">
        <v>202</v>
      </c>
      <c r="L63" s="11">
        <f>K63/$D$63</f>
        <v/>
      </c>
      <c r="M63" s="10">
        <f>N63-K63</f>
        <v/>
      </c>
      <c r="N63" s="10" t="n">
        <v>202</v>
      </c>
      <c r="O63" s="11">
        <f>N63/$D$63</f>
        <v/>
      </c>
      <c r="P63" s="10">
        <f>Q63-N63</f>
        <v/>
      </c>
      <c r="Q63" s="10" t="n">
        <v>202</v>
      </c>
      <c r="R63" s="11">
        <f>Q63/$D$63</f>
        <v/>
      </c>
      <c r="S63" s="12">
        <f>T63-Q63</f>
        <v/>
      </c>
      <c r="T63" s="12" t="n">
        <v>202</v>
      </c>
      <c r="U63" s="13">
        <f>T63/$D$63</f>
        <v/>
      </c>
      <c r="V63" s="8" t="inlineStr"/>
    </row>
    <row r="64">
      <c r="A64" s="7" t="n">
        <v>60</v>
      </c>
      <c r="B64" s="8" t="inlineStr">
        <is>
          <t>Camellia (BJ12)</t>
        </is>
      </c>
      <c r="C64" s="9" t="n">
        <v>45345</v>
      </c>
      <c r="D64" s="10" t="n">
        <v>188</v>
      </c>
      <c r="E64" s="7" t="inlineStr">
        <is>
          <t>6575-42</t>
        </is>
      </c>
      <c r="F64" s="8" t="inlineStr">
        <is>
          <t>SCIENTEX HEIGHTS SDN. BHD.</t>
        </is>
      </c>
      <c r="G64" s="10" t="n"/>
      <c r="H64" s="10" t="n">
        <v>132</v>
      </c>
      <c r="I64" s="11">
        <f>H64/$D$64</f>
        <v/>
      </c>
      <c r="J64" s="10">
        <f>K64-H64</f>
        <v/>
      </c>
      <c r="K64" s="10" t="n">
        <v>132</v>
      </c>
      <c r="L64" s="11">
        <f>K64/$D$64</f>
        <v/>
      </c>
      <c r="M64" s="10">
        <f>N64-K64</f>
        <v/>
      </c>
      <c r="N64" s="10" t="n">
        <v>132</v>
      </c>
      <c r="O64" s="11">
        <f>N64/$D$64</f>
        <v/>
      </c>
      <c r="P64" s="10">
        <f>Q64-N64</f>
        <v/>
      </c>
      <c r="Q64" s="10" t="n">
        <v>132</v>
      </c>
      <c r="R64" s="11">
        <f>Q64/$D$64</f>
        <v/>
      </c>
      <c r="S64" s="12">
        <f>T64-Q64</f>
        <v/>
      </c>
      <c r="T64" s="12" t="n">
        <v>132</v>
      </c>
      <c r="U64" s="13">
        <f>T64/$D$64</f>
        <v/>
      </c>
      <c r="V64" s="8" t="inlineStr"/>
    </row>
    <row r="65">
      <c r="A65" s="7" t="n">
        <v>61</v>
      </c>
      <c r="B65" s="8" t="inlineStr">
        <is>
          <t>Dahlia (BJ8)</t>
        </is>
      </c>
      <c r="C65" s="9" t="n">
        <v>45424</v>
      </c>
      <c r="D65" s="10" t="n">
        <v>289</v>
      </c>
      <c r="E65" s="7" t="inlineStr">
        <is>
          <t>6575-44</t>
        </is>
      </c>
      <c r="F65" s="8" t="inlineStr">
        <is>
          <t>SCIENTEX HEIGHTS SDN. BHD.</t>
        </is>
      </c>
      <c r="G65" s="10" t="n"/>
      <c r="H65" s="10" t="n">
        <v>284</v>
      </c>
      <c r="I65" s="11">
        <f>H65/$D$65</f>
        <v/>
      </c>
      <c r="J65" s="10">
        <f>K65-H65</f>
        <v/>
      </c>
      <c r="K65" s="10" t="n">
        <v>283</v>
      </c>
      <c r="L65" s="11">
        <f>K65/$D$65</f>
        <v/>
      </c>
      <c r="M65" s="10">
        <f>N65-K65</f>
        <v/>
      </c>
      <c r="N65" s="10" t="n">
        <v>283</v>
      </c>
      <c r="O65" s="11">
        <f>N65/$D$65</f>
        <v/>
      </c>
      <c r="P65" s="10">
        <f>Q65-N65</f>
        <v/>
      </c>
      <c r="Q65" s="10" t="n">
        <v>283</v>
      </c>
      <c r="R65" s="11">
        <f>Q65/$D$65</f>
        <v/>
      </c>
      <c r="S65" s="12">
        <f>T65-Q65</f>
        <v/>
      </c>
      <c r="T65" s="12" t="n">
        <v>283</v>
      </c>
      <c r="U65" s="13">
        <f>T65/$D$65</f>
        <v/>
      </c>
      <c r="V65" s="8" t="inlineStr"/>
    </row>
    <row r="66">
      <c r="A66" s="7" t="n">
        <v>62</v>
      </c>
      <c r="B66" s="8" t="inlineStr">
        <is>
          <t>Acacia (BJ7)</t>
        </is>
      </c>
      <c r="C66" s="9" t="n">
        <v>45209</v>
      </c>
      <c r="D66" s="10" t="n">
        <v>336</v>
      </c>
      <c r="E66" s="7" t="inlineStr">
        <is>
          <t>6575-40</t>
        </is>
      </c>
      <c r="F66" s="8" t="inlineStr">
        <is>
          <t>SCIENTEX HEIGHTS SDN. BHD.</t>
        </is>
      </c>
      <c r="G66" s="10" t="n"/>
      <c r="H66" s="10" t="n">
        <v>316</v>
      </c>
      <c r="I66" s="11">
        <f>H66/$D$66</f>
        <v/>
      </c>
      <c r="J66" s="10">
        <f>K66-H66</f>
        <v/>
      </c>
      <c r="K66" s="10" t="n">
        <v>316</v>
      </c>
      <c r="L66" s="11">
        <f>K66/$D$66</f>
        <v/>
      </c>
      <c r="M66" s="10">
        <f>N66-K66</f>
        <v/>
      </c>
      <c r="N66" s="10" t="n">
        <v>316</v>
      </c>
      <c r="O66" s="11">
        <f>N66/$D$66</f>
        <v/>
      </c>
      <c r="P66" s="10">
        <f>Q66-N66</f>
        <v/>
      </c>
      <c r="Q66" s="10" t="n">
        <v>316</v>
      </c>
      <c r="R66" s="11">
        <f>Q66/$D$66</f>
        <v/>
      </c>
      <c r="S66" s="12">
        <f>T66-Q66</f>
        <v/>
      </c>
      <c r="T66" s="12" t="n">
        <v>316</v>
      </c>
      <c r="U66" s="13">
        <f>T66/$D$66</f>
        <v/>
      </c>
      <c r="V66" s="8" t="inlineStr"/>
    </row>
    <row r="67">
      <c r="A67" s="7" t="n">
        <v>63</v>
      </c>
      <c r="B67" s="8" t="inlineStr">
        <is>
          <t>The Pines (SP31)</t>
        </is>
      </c>
      <c r="C67" s="9" t="n">
        <v>45313</v>
      </c>
      <c r="D67" s="10" t="n">
        <v>342</v>
      </c>
      <c r="E67" s="7" t="inlineStr">
        <is>
          <t>9294-62</t>
        </is>
      </c>
      <c r="F67" s="8" t="inlineStr"/>
      <c r="G67" s="10" t="n"/>
      <c r="H67" s="10" t="n">
        <v>342</v>
      </c>
      <c r="I67" s="11">
        <f>H67/$D$67</f>
        <v/>
      </c>
      <c r="J67" s="10">
        <f>K67-H67</f>
        <v/>
      </c>
      <c r="K67" s="10" t="n">
        <v>342</v>
      </c>
      <c r="L67" s="11">
        <f>K67/$D$67</f>
        <v/>
      </c>
      <c r="M67" s="10">
        <f>N67-K67</f>
        <v/>
      </c>
      <c r="N67" s="10" t="n">
        <v>342</v>
      </c>
      <c r="O67" s="11">
        <f>N67/$D$67</f>
        <v/>
      </c>
      <c r="P67" s="10">
        <f>Q67-N67</f>
        <v/>
      </c>
      <c r="Q67" s="10" t="n">
        <v>342</v>
      </c>
      <c r="R67" s="11">
        <f>Q67/$D$67</f>
        <v/>
      </c>
      <c r="S67" s="12">
        <f>T67-Q67</f>
        <v/>
      </c>
      <c r="T67" s="12" t="n">
        <v>342</v>
      </c>
      <c r="U67" s="13">
        <f>T67/$D$67</f>
        <v/>
      </c>
      <c r="V67" s="8" t="inlineStr"/>
    </row>
    <row r="68">
      <c r="A68" s="7" t="n">
        <v>64</v>
      </c>
      <c r="B68" s="8" t="inlineStr">
        <is>
          <t>The Oaks (SP32A)</t>
        </is>
      </c>
      <c r="C68" s="9" t="n">
        <v>45469</v>
      </c>
      <c r="D68" s="10" t="n">
        <v>272</v>
      </c>
      <c r="E68" s="7" t="inlineStr">
        <is>
          <t>9294-65</t>
        </is>
      </c>
      <c r="F68" s="8" t="inlineStr"/>
      <c r="G68" s="10" t="n"/>
      <c r="H68" s="10" t="n">
        <v>272</v>
      </c>
      <c r="I68" s="11">
        <f>H68/$D$68</f>
        <v/>
      </c>
      <c r="J68" s="10">
        <f>K68-H68</f>
        <v/>
      </c>
      <c r="K68" s="10" t="n">
        <v>272</v>
      </c>
      <c r="L68" s="11">
        <f>K68/$D$68</f>
        <v/>
      </c>
      <c r="M68" s="10">
        <f>N68-K68</f>
        <v/>
      </c>
      <c r="N68" s="10" t="n">
        <v>272</v>
      </c>
      <c r="O68" s="11">
        <f>N68/$D$68</f>
        <v/>
      </c>
      <c r="P68" s="10">
        <f>Q68-N68</f>
        <v/>
      </c>
      <c r="Q68" s="10" t="n">
        <v>272</v>
      </c>
      <c r="R68" s="11">
        <f>Q68/$D$68</f>
        <v/>
      </c>
      <c r="S68" s="12">
        <f>T68-Q68</f>
        <v/>
      </c>
      <c r="T68" s="12" t="n">
        <v>272</v>
      </c>
      <c r="U68" s="13">
        <f>T68/$D$68</f>
        <v/>
      </c>
      <c r="V68" s="8" t="inlineStr"/>
    </row>
    <row r="69">
      <c r="A69" s="7" t="n">
        <v>65</v>
      </c>
      <c r="B69" s="8" t="inlineStr">
        <is>
          <t>The Oaks 2 (SP32B)</t>
        </is>
      </c>
      <c r="C69" s="9" t="n">
        <v>45478</v>
      </c>
      <c r="D69" s="10" t="n">
        <v>235</v>
      </c>
      <c r="E69" s="7" t="inlineStr">
        <is>
          <t>9294-66</t>
        </is>
      </c>
      <c r="F69" s="8" t="inlineStr"/>
      <c r="G69" s="10" t="n"/>
      <c r="H69" s="10" t="n">
        <v>235</v>
      </c>
      <c r="I69" s="11">
        <f>H69/$D$69</f>
        <v/>
      </c>
      <c r="J69" s="10">
        <f>K69-H69</f>
        <v/>
      </c>
      <c r="K69" s="10" t="n">
        <v>235</v>
      </c>
      <c r="L69" s="11">
        <f>K69/$D$69</f>
        <v/>
      </c>
      <c r="M69" s="10">
        <f>N69-K69</f>
        <v/>
      </c>
      <c r="N69" s="10" t="n">
        <v>235</v>
      </c>
      <c r="O69" s="11">
        <f>N69/$D$69</f>
        <v/>
      </c>
      <c r="P69" s="10">
        <f>Q69-N69</f>
        <v/>
      </c>
      <c r="Q69" s="10" t="n">
        <v>235</v>
      </c>
      <c r="R69" s="11">
        <f>Q69/$D$69</f>
        <v/>
      </c>
      <c r="S69" s="12">
        <f>T69-Q69</f>
        <v/>
      </c>
      <c r="T69" s="12" t="n">
        <v>235</v>
      </c>
      <c r="U69" s="13">
        <f>T69/$D$69</f>
        <v/>
      </c>
      <c r="V69" s="8" t="inlineStr"/>
    </row>
    <row r="70">
      <c r="A70" s="7" t="n">
        <v>66</v>
      </c>
      <c r="B70" s="8" t="inlineStr">
        <is>
          <t>Clover (A8A)</t>
        </is>
      </c>
      <c r="C70" s="9" t="n">
        <v>44867</v>
      </c>
      <c r="D70" s="10" t="n">
        <v>254</v>
      </c>
      <c r="E70" s="7" t="inlineStr">
        <is>
          <t>19794-15</t>
        </is>
      </c>
      <c r="F70" s="8" t="inlineStr">
        <is>
          <t>AMBER LAND BERHAD</t>
        </is>
      </c>
      <c r="G70" s="10" t="n"/>
      <c r="H70" s="10" t="n">
        <v>253</v>
      </c>
      <c r="I70" s="11">
        <f>H70/$D$70</f>
        <v/>
      </c>
      <c r="J70" s="10">
        <f>K70-H70</f>
        <v/>
      </c>
      <c r="K70" s="10" t="n">
        <v>253</v>
      </c>
      <c r="L70" s="11">
        <f>K70/$D$70</f>
        <v/>
      </c>
      <c r="M70" s="10">
        <f>N70-K70</f>
        <v/>
      </c>
      <c r="N70" s="10" t="n">
        <v>253</v>
      </c>
      <c r="O70" s="11">
        <f>N70/$D$70</f>
        <v/>
      </c>
      <c r="P70" s="10">
        <f>Q70-N70</f>
        <v/>
      </c>
      <c r="Q70" s="10" t="n">
        <v>253</v>
      </c>
      <c r="R70" s="11">
        <f>Q70/$D$70</f>
        <v/>
      </c>
      <c r="S70" s="12">
        <f>T70-Q70</f>
        <v/>
      </c>
      <c r="T70" s="12" t="n">
        <v>253</v>
      </c>
      <c r="U70" s="13">
        <f>T70/$D$70</f>
        <v/>
      </c>
      <c r="V70" s="8" t="inlineStr"/>
    </row>
    <row r="71">
      <c r="A71" s="7" t="n">
        <v>67</v>
      </c>
      <c r="B71" s="8" t="inlineStr">
        <is>
          <t>Clover (A8B)</t>
        </is>
      </c>
      <c r="C71" s="9" t="n">
        <v>45064</v>
      </c>
      <c r="D71" s="10" t="n">
        <v>256</v>
      </c>
      <c r="E71" s="7" t="inlineStr">
        <is>
          <t>19794-16</t>
        </is>
      </c>
      <c r="F71" s="8" t="inlineStr">
        <is>
          <t>AMBER LAND BERHAD</t>
        </is>
      </c>
      <c r="G71" s="10" t="n"/>
      <c r="H71" s="10" t="n">
        <v>256</v>
      </c>
      <c r="I71" s="11">
        <f>H71/$D$71</f>
        <v/>
      </c>
      <c r="J71" s="10">
        <f>K71-H71</f>
        <v/>
      </c>
      <c r="K71" s="10" t="n">
        <v>256</v>
      </c>
      <c r="L71" s="11">
        <f>K71/$D$71</f>
        <v/>
      </c>
      <c r="M71" s="10">
        <f>N71-K71</f>
        <v/>
      </c>
      <c r="N71" s="10" t="n">
        <v>256</v>
      </c>
      <c r="O71" s="11">
        <f>N71/$D$71</f>
        <v/>
      </c>
      <c r="P71" s="10">
        <f>Q71-N71</f>
        <v/>
      </c>
      <c r="Q71" s="10" t="n">
        <v>256</v>
      </c>
      <c r="R71" s="11">
        <f>Q71/$D$71</f>
        <v/>
      </c>
      <c r="S71" s="12">
        <f>T71-Q71</f>
        <v/>
      </c>
      <c r="T71" s="12" t="n">
        <v>256</v>
      </c>
      <c r="U71" s="13">
        <f>T71/$D$71</f>
        <v/>
      </c>
      <c r="V71" s="8" t="inlineStr"/>
    </row>
    <row r="72">
      <c r="A72" s="7" t="n">
        <v>68</v>
      </c>
      <c r="B72" s="8" t="inlineStr">
        <is>
          <t>Rumah Belia Melaka (MD24)</t>
        </is>
      </c>
      <c r="C72" s="9" t="n">
        <v>45007</v>
      </c>
      <c r="D72" s="10" t="n">
        <v>215</v>
      </c>
      <c r="E72" s="7" t="inlineStr">
        <is>
          <t>6575-38</t>
        </is>
      </c>
      <c r="F72" s="8" t="inlineStr">
        <is>
          <t>SCIENTEX HEIGHTS SDN. BHD.</t>
        </is>
      </c>
      <c r="G72" s="10" t="n"/>
      <c r="H72" s="10" t="n">
        <v>212</v>
      </c>
      <c r="I72" s="11">
        <f>H72/$D$72</f>
        <v/>
      </c>
      <c r="J72" s="10">
        <f>K72-H72</f>
        <v/>
      </c>
      <c r="K72" s="10" t="n">
        <v>212</v>
      </c>
      <c r="L72" s="11">
        <f>K72/$D$72</f>
        <v/>
      </c>
      <c r="M72" s="10">
        <f>N72-K72</f>
        <v/>
      </c>
      <c r="N72" s="10" t="n">
        <v>212</v>
      </c>
      <c r="O72" s="11">
        <f>N72/$D$72</f>
        <v/>
      </c>
      <c r="P72" s="10">
        <f>Q72-N72</f>
        <v/>
      </c>
      <c r="Q72" s="10" t="n">
        <v>212</v>
      </c>
      <c r="R72" s="11">
        <f>Q72/$D$72</f>
        <v/>
      </c>
      <c r="S72" s="12">
        <f>T72-Q72</f>
        <v/>
      </c>
      <c r="T72" s="12" t="n">
        <v>212</v>
      </c>
      <c r="U72" s="13">
        <f>T72/$D$72</f>
        <v/>
      </c>
      <c r="V72" s="8" t="inlineStr"/>
    </row>
    <row r="73">
      <c r="A73" s="7" t="n">
        <v>69</v>
      </c>
      <c r="B73" s="8" t="inlineStr">
        <is>
          <t>Clover 3</t>
        </is>
      </c>
      <c r="C73" s="9" t="n">
        <v>44865</v>
      </c>
      <c r="D73" s="10" t="n">
        <v>309</v>
      </c>
      <c r="E73" s="7" t="inlineStr">
        <is>
          <t>19794-14</t>
        </is>
      </c>
      <c r="F73" s="8" t="inlineStr">
        <is>
          <t>AMBER LAND BERHAD</t>
        </is>
      </c>
      <c r="G73" s="10" t="n"/>
      <c r="H73" s="10" t="n">
        <v>306</v>
      </c>
      <c r="I73" s="11">
        <f>H73/$D$73</f>
        <v/>
      </c>
      <c r="J73" s="10">
        <f>K73-H73</f>
        <v/>
      </c>
      <c r="K73" s="10" t="n">
        <v>306</v>
      </c>
      <c r="L73" s="11">
        <f>K73/$D$73</f>
        <v/>
      </c>
      <c r="M73" s="10">
        <f>N73-K73</f>
        <v/>
      </c>
      <c r="N73" s="10" t="n">
        <v>306</v>
      </c>
      <c r="O73" s="11">
        <f>N73/$D$73</f>
        <v/>
      </c>
      <c r="P73" s="10">
        <f>Q73-N73</f>
        <v/>
      </c>
      <c r="Q73" s="10" t="n">
        <v>306</v>
      </c>
      <c r="R73" s="11">
        <f>Q73/$D$73</f>
        <v/>
      </c>
      <c r="S73" s="12">
        <f>T73-Q73</f>
        <v/>
      </c>
      <c r="T73" s="12" t="n">
        <v>306</v>
      </c>
      <c r="U73" s="13">
        <f>T73/$D$73</f>
        <v/>
      </c>
      <c r="V73" s="8" t="inlineStr"/>
    </row>
    <row r="74">
      <c r="A74" s="7" t="n">
        <v>70</v>
      </c>
      <c r="B74" s="8" t="inlineStr">
        <is>
          <t>Scientex Durian Tunggal 2</t>
        </is>
      </c>
      <c r="C74" s="9" t="n">
        <v>44016</v>
      </c>
      <c r="D74" s="10" t="n">
        <v>757</v>
      </c>
      <c r="E74" s="7" t="inlineStr">
        <is>
          <t>6575-18,6575-19,6575-21</t>
        </is>
      </c>
      <c r="F74" s="8" t="inlineStr">
        <is>
          <t>SCIENTEX HEIGHTS SDN. BHD.</t>
        </is>
      </c>
      <c r="G74" s="10" t="n"/>
      <c r="H74" s="10" t="n">
        <v>730</v>
      </c>
      <c r="I74" s="11">
        <f>H74/$D$74</f>
        <v/>
      </c>
      <c r="J74" s="10">
        <f>K74-H74</f>
        <v/>
      </c>
      <c r="K74" s="10" t="n">
        <v>730</v>
      </c>
      <c r="L74" s="11">
        <f>K74/$D$74</f>
        <v/>
      </c>
      <c r="M74" s="10">
        <f>N74-K74</f>
        <v/>
      </c>
      <c r="N74" s="10" t="n">
        <v>730</v>
      </c>
      <c r="O74" s="11">
        <f>N74/$D$74</f>
        <v/>
      </c>
      <c r="P74" s="10">
        <f>Q74-N74</f>
        <v/>
      </c>
      <c r="Q74" s="10" t="n">
        <v>730</v>
      </c>
      <c r="R74" s="11">
        <f>Q74/$D$74</f>
        <v/>
      </c>
      <c r="S74" s="12">
        <f>T74-Q74</f>
        <v/>
      </c>
      <c r="T74" s="12" t="n">
        <v>730</v>
      </c>
      <c r="U74" s="13">
        <f>T74/$D$74</f>
        <v/>
      </c>
      <c r="V74" s="8" t="inlineStr"/>
    </row>
    <row r="75">
      <c r="A75" s="7" t="n">
        <v>71</v>
      </c>
      <c r="B75" s="8" t="inlineStr">
        <is>
          <t>Rumah Bandar Taman Scientex Kulai 2</t>
        </is>
      </c>
      <c r="C75" s="9" t="n">
        <v>43644</v>
      </c>
      <c r="D75" s="10" t="n">
        <v>150</v>
      </c>
      <c r="E75" s="7" t="inlineStr">
        <is>
          <t>9294-51</t>
        </is>
      </c>
      <c r="F75" s="8" t="inlineStr">
        <is>
          <t>SCIENTEX QUATARI SDN. BHD.</t>
        </is>
      </c>
      <c r="G75" s="10" t="n"/>
      <c r="H75" s="10" t="n">
        <v>122</v>
      </c>
      <c r="I75" s="11">
        <f>H75/$D$75</f>
        <v/>
      </c>
      <c r="J75" s="10">
        <f>K75-H75</f>
        <v/>
      </c>
      <c r="K75" s="10" t="n">
        <v>122</v>
      </c>
      <c r="L75" s="11">
        <f>K75/$D$75</f>
        <v/>
      </c>
      <c r="M75" s="10">
        <f>N75-K75</f>
        <v/>
      </c>
      <c r="N75" s="10" t="n">
        <v>122</v>
      </c>
      <c r="O75" s="11">
        <f>N75/$D$75</f>
        <v/>
      </c>
      <c r="P75" s="10">
        <f>Q75-N75</f>
        <v/>
      </c>
      <c r="Q75" s="10" t="n">
        <v>122</v>
      </c>
      <c r="R75" s="11">
        <f>Q75/$D$75</f>
        <v/>
      </c>
      <c r="S75" s="12">
        <f>T75-Q75</f>
        <v/>
      </c>
      <c r="T75" s="12" t="n">
        <v>122</v>
      </c>
      <c r="U75" s="13">
        <f>T75/$D$75</f>
        <v/>
      </c>
      <c r="V75" s="8" t="inlineStr"/>
    </row>
    <row r="76">
      <c r="A76" s="7" t="n">
        <v>72</v>
      </c>
      <c r="B76" s="8" t="inlineStr">
        <is>
          <t>Pangsapuri Pulai Mutiara 2</t>
        </is>
      </c>
      <c r="C76" s="9" t="n">
        <v>43665</v>
      </c>
      <c r="D76" s="10" t="n">
        <v>420</v>
      </c>
      <c r="E76" s="7" t="inlineStr">
        <is>
          <t>9294-52</t>
        </is>
      </c>
      <c r="F76" s="8" t="inlineStr">
        <is>
          <t>SCIENTEX QUATARI SDN. BHD.</t>
        </is>
      </c>
      <c r="G76" s="10" t="n"/>
      <c r="H76" s="10" t="n">
        <v>361</v>
      </c>
      <c r="I76" s="11">
        <f>H76/$D$76</f>
        <v/>
      </c>
      <c r="J76" s="10">
        <f>K76-H76</f>
        <v/>
      </c>
      <c r="K76" s="10" t="n">
        <v>361</v>
      </c>
      <c r="L76" s="11">
        <f>K76/$D$76</f>
        <v/>
      </c>
      <c r="M76" s="10">
        <f>N76-K76</f>
        <v/>
      </c>
      <c r="N76" s="10" t="n">
        <v>361</v>
      </c>
      <c r="O76" s="11">
        <f>N76/$D$76</f>
        <v/>
      </c>
      <c r="P76" s="10">
        <f>Q76-N76</f>
        <v/>
      </c>
      <c r="Q76" s="10" t="n">
        <v>361</v>
      </c>
      <c r="R76" s="11">
        <f>Q76/$D$76</f>
        <v/>
      </c>
      <c r="S76" s="12">
        <f>T76-Q76</f>
        <v/>
      </c>
      <c r="T76" s="12" t="n">
        <v>361</v>
      </c>
      <c r="U76" s="13">
        <f>T76/$D$76</f>
        <v/>
      </c>
      <c r="V76" s="8" t="inlineStr">
        <is>
          <t>Latest sales - Block A: 182 units, Block B: 179 units</t>
        </is>
      </c>
    </row>
    <row r="77">
      <c r="A77" s="7" t="n">
        <v>73</v>
      </c>
      <c r="B77" s="8" t="inlineStr">
        <is>
          <t>Taman Chepor Idaman</t>
        </is>
      </c>
      <c r="C77" s="9" t="n">
        <v>43665</v>
      </c>
      <c r="D77" s="10" t="n">
        <v>288</v>
      </c>
      <c r="E77" s="7" t="inlineStr">
        <is>
          <t>9294-53</t>
        </is>
      </c>
      <c r="F77" s="8" t="inlineStr">
        <is>
          <t>SCIENTEX QUATARI SDN. BHD.</t>
        </is>
      </c>
      <c r="G77" s="10" t="n"/>
      <c r="H77" s="10" t="n">
        <v>278</v>
      </c>
      <c r="I77" s="11">
        <f>H77/$D$77</f>
        <v/>
      </c>
      <c r="J77" s="10">
        <f>K77-H77</f>
        <v/>
      </c>
      <c r="K77" s="10" t="n">
        <v>278</v>
      </c>
      <c r="L77" s="11">
        <f>K77/$D$77</f>
        <v/>
      </c>
      <c r="M77" s="10">
        <f>N77-K77</f>
        <v/>
      </c>
      <c r="N77" s="10" t="n">
        <v>278</v>
      </c>
      <c r="O77" s="11">
        <f>N77/$D$77</f>
        <v/>
      </c>
      <c r="P77" s="10">
        <f>Q77-N77</f>
        <v/>
      </c>
      <c r="Q77" s="10" t="n">
        <v>278</v>
      </c>
      <c r="R77" s="11">
        <f>Q77/$D$77</f>
        <v/>
      </c>
      <c r="S77" s="12">
        <f>T77-Q77</f>
        <v/>
      </c>
      <c r="T77" s="12" t="n">
        <v>278</v>
      </c>
      <c r="U77" s="13">
        <f>T77/$D$77</f>
        <v/>
      </c>
      <c r="V77" s="8" t="inlineStr"/>
    </row>
    <row r="78">
      <c r="A78" s="7" t="n">
        <v>74</v>
      </c>
      <c r="B78" s="8" t="inlineStr">
        <is>
          <t>Scientex Quatari (unnamed phase)</t>
        </is>
      </c>
      <c r="C78" s="9" t="n">
        <v>43671</v>
      </c>
      <c r="D78" s="10" t="n">
        <v>84</v>
      </c>
      <c r="E78" s="7" t="inlineStr">
        <is>
          <t>9294-54</t>
        </is>
      </c>
      <c r="F78" s="8" t="inlineStr">
        <is>
          <t>SCIENTEX QUATARI SDN. BHD.</t>
        </is>
      </c>
      <c r="G78" s="10" t="n"/>
      <c r="H78" s="10" t="n">
        <v>74</v>
      </c>
      <c r="I78" s="11">
        <f>H78/$D$78</f>
        <v/>
      </c>
      <c r="J78" s="10">
        <f>K78-H78</f>
        <v/>
      </c>
      <c r="K78" s="10" t="n">
        <v>74</v>
      </c>
      <c r="L78" s="11">
        <f>K78/$D$78</f>
        <v/>
      </c>
      <c r="M78" s="10">
        <f>N78-K78</f>
        <v/>
      </c>
      <c r="N78" s="10" t="n">
        <v>74</v>
      </c>
      <c r="O78" s="11">
        <f>N78/$D$78</f>
        <v/>
      </c>
      <c r="P78" s="10">
        <f>Q78-N78</f>
        <v/>
      </c>
      <c r="Q78" s="10" t="n">
        <v>74</v>
      </c>
      <c r="R78" s="11">
        <f>Q78/$D$78</f>
        <v/>
      </c>
      <c r="S78" s="12">
        <f>T78-Q78</f>
        <v/>
      </c>
      <c r="T78" s="12" t="n">
        <v>74</v>
      </c>
      <c r="U78" s="13">
        <f>T78/$D$78</f>
        <v/>
      </c>
      <c r="V78" s="8" t="inlineStr"/>
    </row>
    <row r="79">
      <c r="A79" s="7" t="n">
        <v>75</v>
      </c>
      <c r="B79" s="8" t="inlineStr">
        <is>
          <t>Pangsapuri Pulai Mutiara 3</t>
        </is>
      </c>
      <c r="C79" s="9" t="n">
        <v>43743</v>
      </c>
      <c r="D79" s="10" t="n">
        <v>614</v>
      </c>
      <c r="E79" s="7" t="inlineStr">
        <is>
          <t>9294-56</t>
        </is>
      </c>
      <c r="F79" s="8" t="inlineStr">
        <is>
          <t>SCIENTEX QUATARI SDN. BHD.</t>
        </is>
      </c>
      <c r="G79" s="10" t="n"/>
      <c r="H79" s="10" t="n">
        <v>614</v>
      </c>
      <c r="I79" s="11">
        <f>H79/$D$79</f>
        <v/>
      </c>
      <c r="J79" s="10">
        <f>K79-H79</f>
        <v/>
      </c>
      <c r="K79" s="10" t="n">
        <v>614</v>
      </c>
      <c r="L79" s="11">
        <f>K79/$D$79</f>
        <v/>
      </c>
      <c r="M79" s="10">
        <f>N79-K79</f>
        <v/>
      </c>
      <c r="N79" s="10" t="n">
        <v>614</v>
      </c>
      <c r="O79" s="11">
        <f>N79/$D$79</f>
        <v/>
      </c>
      <c r="P79" s="10">
        <f>Q79-N79</f>
        <v/>
      </c>
      <c r="Q79" s="10" t="n">
        <v>614</v>
      </c>
      <c r="R79" s="11">
        <f>Q79/$D$79</f>
        <v/>
      </c>
      <c r="S79" s="12">
        <f>T79-Q79</f>
        <v/>
      </c>
      <c r="T79" s="12" t="n">
        <v>614</v>
      </c>
      <c r="U79" s="13">
        <f>T79/$D$79</f>
        <v/>
      </c>
      <c r="V79" s="8" t="inlineStr">
        <is>
          <t>Latest sales - Block A: 204 units, Block B: 204 units, Block C: 206 units</t>
        </is>
      </c>
    </row>
    <row r="80">
      <c r="A80" s="7" t="n">
        <v>76</v>
      </c>
      <c r="B80" s="8" t="inlineStr">
        <is>
          <t>Pangsapuri 1 Scientex Utama</t>
        </is>
      </c>
      <c r="C80" s="9" t="n">
        <v>44143</v>
      </c>
      <c r="D80" s="10" t="n">
        <v>300</v>
      </c>
      <c r="E80" s="7" t="inlineStr">
        <is>
          <t>9294-59</t>
        </is>
      </c>
      <c r="F80" s="8" t="inlineStr">
        <is>
          <t>SCIENTEX QUATARI SDN. BHD.</t>
        </is>
      </c>
      <c r="G80" s="10" t="n"/>
      <c r="H80" s="10" t="n">
        <v>300</v>
      </c>
      <c r="I80" s="11">
        <f>H80/$D$80</f>
        <v/>
      </c>
      <c r="J80" s="10">
        <f>K80-H80</f>
        <v/>
      </c>
      <c r="K80" s="10" t="n">
        <v>300</v>
      </c>
      <c r="L80" s="11">
        <f>K80/$D$80</f>
        <v/>
      </c>
      <c r="M80" s="10">
        <f>N80-K80</f>
        <v/>
      </c>
      <c r="N80" s="10" t="n">
        <v>300</v>
      </c>
      <c r="O80" s="11">
        <f>N80/$D$80</f>
        <v/>
      </c>
      <c r="P80" s="10">
        <f>Q80-N80</f>
        <v/>
      </c>
      <c r="Q80" s="10" t="n">
        <v>300</v>
      </c>
      <c r="R80" s="11">
        <f>Q80/$D$80</f>
        <v/>
      </c>
      <c r="S80" s="12">
        <f>T80-Q80</f>
        <v/>
      </c>
      <c r="T80" s="12" t="n">
        <v>300</v>
      </c>
      <c r="U80" s="13">
        <f>T80/$D$80</f>
        <v/>
      </c>
      <c r="V80" s="8" t="inlineStr">
        <is>
          <t>Latest sales - Block A: 150 units, Block B: 150 units</t>
        </is>
      </c>
    </row>
    <row r="81">
      <c r="A81" s="7" t="n">
        <v>77</v>
      </c>
      <c r="B81" s="8" t="inlineStr">
        <is>
          <t>Scientex Meru 3</t>
        </is>
      </c>
      <c r="C81" s="9" t="n">
        <v>44307</v>
      </c>
      <c r="D81" s="10" t="n">
        <v>304</v>
      </c>
      <c r="E81" s="7" t="inlineStr">
        <is>
          <t>9294-60</t>
        </is>
      </c>
      <c r="F81" s="8" t="inlineStr">
        <is>
          <t>SCIENTEX QUATARI SDN. BHD.</t>
        </is>
      </c>
      <c r="G81" s="10" t="n"/>
      <c r="H81" s="10" t="n">
        <v>304</v>
      </c>
      <c r="I81" s="11">
        <f>H81/$D$81</f>
        <v/>
      </c>
      <c r="J81" s="10">
        <f>K81-H81</f>
        <v/>
      </c>
      <c r="K81" s="10" t="n">
        <v>304</v>
      </c>
      <c r="L81" s="11">
        <f>K81/$D$81</f>
        <v/>
      </c>
      <c r="M81" s="10">
        <f>N81-K81</f>
        <v/>
      </c>
      <c r="N81" s="10" t="n">
        <v>304</v>
      </c>
      <c r="O81" s="11">
        <f>N81/$D$81</f>
        <v/>
      </c>
      <c r="P81" s="10">
        <f>Q81-N81</f>
        <v/>
      </c>
      <c r="Q81" s="10" t="n">
        <v>304</v>
      </c>
      <c r="R81" s="11">
        <f>Q81/$D$81</f>
        <v/>
      </c>
      <c r="S81" s="12">
        <f>T81-Q81</f>
        <v/>
      </c>
      <c r="T81" s="12" t="n">
        <v>304</v>
      </c>
      <c r="U81" s="13">
        <f>T81/$D$81</f>
        <v/>
      </c>
      <c r="V81" s="8" t="inlineStr"/>
    </row>
    <row r="82">
      <c r="A82" s="7" t="n">
        <v>78</v>
      </c>
      <c r="B82" s="8" t="inlineStr">
        <is>
          <t>Scientex Meru 3</t>
        </is>
      </c>
      <c r="C82" s="9" t="n">
        <v>45030</v>
      </c>
      <c r="D82" s="10" t="n">
        <v>70</v>
      </c>
      <c r="E82" s="7" t="inlineStr">
        <is>
          <t>9294-61</t>
        </is>
      </c>
      <c r="F82" s="8" t="inlineStr">
        <is>
          <t>SCIENTEX QUATARI SDN. BHD.</t>
        </is>
      </c>
      <c r="G82" s="10" t="n"/>
      <c r="H82" s="10" t="n">
        <v>70</v>
      </c>
      <c r="I82" s="11">
        <f>H82/$D$82</f>
        <v/>
      </c>
      <c r="J82" s="10">
        <f>K82-H82</f>
        <v/>
      </c>
      <c r="K82" s="10" t="n">
        <v>70</v>
      </c>
      <c r="L82" s="11">
        <f>K82/$D$82</f>
        <v/>
      </c>
      <c r="M82" s="10">
        <f>N82-K82</f>
        <v/>
      </c>
      <c r="N82" s="10" t="n">
        <v>70</v>
      </c>
      <c r="O82" s="11">
        <f>N82/$D$82</f>
        <v/>
      </c>
      <c r="P82" s="10">
        <f>Q82-N82</f>
        <v/>
      </c>
      <c r="Q82" s="10" t="n">
        <v>70</v>
      </c>
      <c r="R82" s="11">
        <f>Q82/$D$82</f>
        <v/>
      </c>
      <c r="S82" s="12">
        <f>T82-Q82</f>
        <v/>
      </c>
      <c r="T82" s="12" t="n">
        <v>70</v>
      </c>
      <c r="U82" s="13">
        <f>T82/$D$82</f>
        <v/>
      </c>
      <c r="V82" s="8" t="inlineStr"/>
    </row>
    <row r="83">
      <c r="A83" s="7" t="n">
        <v>79</v>
      </c>
      <c r="B83" s="8" t="inlineStr">
        <is>
          <t>Scientex Ipoh</t>
        </is>
      </c>
      <c r="C83" s="9" t="n">
        <v>45315</v>
      </c>
      <c r="D83" s="10" t="n">
        <v>238</v>
      </c>
      <c r="E83" s="7" t="inlineStr">
        <is>
          <t>9294-63</t>
        </is>
      </c>
      <c r="F83" s="8" t="inlineStr">
        <is>
          <t>SCIENTEX QUATARI SDN. BHD.</t>
        </is>
      </c>
      <c r="G83" s="10" t="n"/>
      <c r="H83" s="10" t="n">
        <v>238</v>
      </c>
      <c r="I83" s="11">
        <f>H83/$D$83</f>
        <v/>
      </c>
      <c r="J83" s="10">
        <f>K83-H83</f>
        <v/>
      </c>
      <c r="K83" s="10" t="n">
        <v>238</v>
      </c>
      <c r="L83" s="11">
        <f>K83/$D$83</f>
        <v/>
      </c>
      <c r="M83" s="10">
        <f>N83-K83</f>
        <v/>
      </c>
      <c r="N83" s="10" t="n">
        <v>238</v>
      </c>
      <c r="O83" s="11">
        <f>N83/$D$83</f>
        <v/>
      </c>
      <c r="P83" s="10">
        <f>Q83-N83</f>
        <v/>
      </c>
      <c r="Q83" s="10" t="n">
        <v>238</v>
      </c>
      <c r="R83" s="11">
        <f>Q83/$D$83</f>
        <v/>
      </c>
      <c r="S83" s="12">
        <f>T83-Q83</f>
        <v/>
      </c>
      <c r="T83" s="12" t="n">
        <v>238</v>
      </c>
      <c r="U83" s="13">
        <f>T83/$D$83</f>
        <v/>
      </c>
      <c r="V83" s="8" t="inlineStr"/>
    </row>
    <row r="84">
      <c r="A84" s="7" t="n">
        <v>80</v>
      </c>
      <c r="B84" s="8" t="inlineStr">
        <is>
          <t>Taman Klebang Lestari</t>
        </is>
      </c>
      <c r="C84" s="9" t="n">
        <v>45387</v>
      </c>
      <c r="D84" s="10" t="n">
        <v>122</v>
      </c>
      <c r="E84" s="7" t="inlineStr">
        <is>
          <t>9294-64</t>
        </is>
      </c>
      <c r="F84" s="8" t="inlineStr">
        <is>
          <t>SCIENTEX QUATARI SDN. BHD.</t>
        </is>
      </c>
      <c r="G84" s="10" t="n"/>
      <c r="H84" s="10" t="n">
        <v>120</v>
      </c>
      <c r="I84" s="11">
        <f>H84/$D$84</f>
        <v/>
      </c>
      <c r="J84" s="10">
        <f>K84-H84</f>
        <v/>
      </c>
      <c r="K84" s="10" t="n">
        <v>120</v>
      </c>
      <c r="L84" s="11">
        <f>K84/$D$84</f>
        <v/>
      </c>
      <c r="M84" s="10">
        <f>N84-K84</f>
        <v/>
      </c>
      <c r="N84" s="10" t="n">
        <v>120</v>
      </c>
      <c r="O84" s="11">
        <f>N84/$D$84</f>
        <v/>
      </c>
      <c r="P84" s="10">
        <f>Q84-N84</f>
        <v/>
      </c>
      <c r="Q84" s="10" t="n">
        <v>120</v>
      </c>
      <c r="R84" s="11">
        <f>Q84/$D$84</f>
        <v/>
      </c>
      <c r="S84" s="12">
        <f>T84-Q84</f>
        <v/>
      </c>
      <c r="T84" s="12" t="n">
        <v>120</v>
      </c>
      <c r="U84" s="13">
        <f>T84/$D$84</f>
        <v/>
      </c>
      <c r="V84" s="8" t="inlineStr"/>
    </row>
    <row r="85">
      <c r="A85" s="7" t="n">
        <v>81</v>
      </c>
      <c r="B85" s="8" t="inlineStr">
        <is>
          <t>Taman Pulai Duta</t>
        </is>
      </c>
      <c r="C85" s="9" t="n"/>
      <c r="D85" s="10" t="n">
        <v>207</v>
      </c>
      <c r="E85" s="7" t="inlineStr">
        <is>
          <t>9294-73</t>
        </is>
      </c>
      <c r="F85" s="8" t="inlineStr">
        <is>
          <t>SCIENTEX QUATARI SDN. BHD.</t>
        </is>
      </c>
      <c r="G85" s="10" t="n"/>
      <c r="H85" s="10" t="n">
        <v>0</v>
      </c>
      <c r="I85" s="11">
        <f>H85/$D$85</f>
        <v/>
      </c>
      <c r="J85" s="10">
        <f>K85-H85</f>
        <v/>
      </c>
      <c r="K85" s="10" t="n">
        <v>0</v>
      </c>
      <c r="L85" s="11">
        <f>K85/$D$85</f>
        <v/>
      </c>
      <c r="M85" s="10">
        <f>N85-K85</f>
        <v/>
      </c>
      <c r="N85" s="10" t="n">
        <v>0</v>
      </c>
      <c r="O85" s="11">
        <f>N85/$D$85</f>
        <v/>
      </c>
      <c r="P85" s="10">
        <f>Q85-N85</f>
        <v/>
      </c>
      <c r="Q85" s="10" t="n">
        <v>0</v>
      </c>
      <c r="R85" s="11">
        <f>Q85/$D$85</f>
        <v/>
      </c>
      <c r="S85" s="12">
        <f>T85-Q85</f>
        <v/>
      </c>
      <c r="T85" s="12" t="n">
        <v>0</v>
      </c>
      <c r="U85" s="13">
        <f>T85/$D$85</f>
        <v/>
      </c>
      <c r="V85" s="8" t="inlineStr"/>
    </row>
    <row r="86">
      <c r="A86" s="7" t="n">
        <v>82</v>
      </c>
      <c r="B86" s="8" t="inlineStr">
        <is>
          <t>Lavender (SP7)</t>
        </is>
      </c>
      <c r="C86" s="9" t="n">
        <v>43398</v>
      </c>
      <c r="D86" s="10" t="n">
        <v>492</v>
      </c>
      <c r="E86" s="7" t="inlineStr">
        <is>
          <t>9294-45,9294-55,9294-58</t>
        </is>
      </c>
      <c r="F86" s="8" t="inlineStr">
        <is>
          <t>SCIENTEX QUATARI SDN. BHD.</t>
        </is>
      </c>
      <c r="G86" s="10" t="n"/>
      <c r="H86" s="10" t="n">
        <v>472</v>
      </c>
      <c r="I86" s="11">
        <f>H86/$D$86</f>
        <v/>
      </c>
      <c r="J86" s="10">
        <f>K86-H86</f>
        <v/>
      </c>
      <c r="K86" s="10" t="n">
        <v>472</v>
      </c>
      <c r="L86" s="11">
        <f>K86/$D$86</f>
        <v/>
      </c>
      <c r="M86" s="10">
        <f>N86-K86</f>
        <v/>
      </c>
      <c r="N86" s="10" t="n">
        <v>472</v>
      </c>
      <c r="O86" s="11">
        <f>N86/$D$86</f>
        <v/>
      </c>
      <c r="P86" s="10">
        <f>Q86-N86</f>
        <v/>
      </c>
      <c r="Q86" s="10" t="n">
        <v>472</v>
      </c>
      <c r="R86" s="11">
        <f>Q86/$D$86</f>
        <v/>
      </c>
      <c r="S86" s="12">
        <f>T86-Q86</f>
        <v/>
      </c>
      <c r="T86" s="12" t="n">
        <v>472</v>
      </c>
      <c r="U86" s="13">
        <f>T86/$D$86</f>
        <v/>
      </c>
      <c r="V86" s="8" t="inlineStr"/>
    </row>
    <row r="87">
      <c r="A87" s="7" t="n">
        <v>83</v>
      </c>
      <c r="B87" s="8" t="inlineStr">
        <is>
          <t>Mimosa 2 (MJ2)</t>
        </is>
      </c>
      <c r="C87" s="9" t="n">
        <v>44901</v>
      </c>
      <c r="D87" s="10" t="n">
        <v>455</v>
      </c>
      <c r="E87" s="7" t="inlineStr">
        <is>
          <t>6575-34,6575-36</t>
        </is>
      </c>
      <c r="F87" s="8" t="inlineStr">
        <is>
          <t>SCIENTEX HEIGHTS SDN. BHD.</t>
        </is>
      </c>
      <c r="G87" s="10" t="n"/>
      <c r="H87" s="10" t="n">
        <v>452</v>
      </c>
      <c r="I87" s="11">
        <f>H87/$D$87</f>
        <v/>
      </c>
      <c r="J87" s="10">
        <f>K87-H87</f>
        <v/>
      </c>
      <c r="K87" s="10" t="n">
        <v>452</v>
      </c>
      <c r="L87" s="11">
        <f>K87/$D$87</f>
        <v/>
      </c>
      <c r="M87" s="10">
        <f>N87-K87</f>
        <v/>
      </c>
      <c r="N87" s="10" t="n">
        <v>452</v>
      </c>
      <c r="O87" s="11">
        <f>N87/$D$87</f>
        <v/>
      </c>
      <c r="P87" s="10">
        <f>Q87-N87</f>
        <v/>
      </c>
      <c r="Q87" s="10" t="n">
        <v>452</v>
      </c>
      <c r="R87" s="11">
        <f>Q87/$D$87</f>
        <v/>
      </c>
      <c r="S87" s="12">
        <f>T87-Q87</f>
        <v/>
      </c>
      <c r="T87" s="12" t="n">
        <v>452</v>
      </c>
      <c r="U87" s="13">
        <f>T87/$D$87</f>
        <v/>
      </c>
      <c r="V87" s="8" t="inlineStr"/>
    </row>
    <row r="88">
      <c r="A88" s="7" t="n">
        <v>84</v>
      </c>
      <c r="B88" s="8" t="inlineStr">
        <is>
          <t>Rumah Mampu Milik BJ3</t>
        </is>
      </c>
      <c r="C88" s="9" t="n">
        <v>44886</v>
      </c>
      <c r="D88" s="10" t="n">
        <v>503</v>
      </c>
      <c r="E88" s="7" t="inlineStr">
        <is>
          <t>6575-33,6575-37,6575-41</t>
        </is>
      </c>
      <c r="F88" s="8" t="inlineStr">
        <is>
          <t>SCIENTEX HEIGHTS SDN. BHD.</t>
        </is>
      </c>
      <c r="G88" s="10" t="n"/>
      <c r="H88" s="10" t="n">
        <v>498</v>
      </c>
      <c r="I88" s="11">
        <f>H88/$D$88</f>
        <v/>
      </c>
      <c r="J88" s="10">
        <f>K88-H88</f>
        <v/>
      </c>
      <c r="K88" s="10" t="n">
        <v>498</v>
      </c>
      <c r="L88" s="11">
        <f>K88/$D$88</f>
        <v/>
      </c>
      <c r="M88" s="10">
        <f>N88-K88</f>
        <v/>
      </c>
      <c r="N88" s="10" t="n">
        <v>498</v>
      </c>
      <c r="O88" s="11">
        <f>N88/$D$88</f>
        <v/>
      </c>
      <c r="P88" s="10">
        <f>Q88-N88</f>
        <v/>
      </c>
      <c r="Q88" s="10" t="n">
        <v>498</v>
      </c>
      <c r="R88" s="11">
        <f>Q88/$D$88</f>
        <v/>
      </c>
      <c r="S88" s="12">
        <f>T88-Q88</f>
        <v/>
      </c>
      <c r="T88" s="12" t="n">
        <v>498</v>
      </c>
      <c r="U88" s="13">
        <f>T88/$D$88</f>
        <v/>
      </c>
      <c r="V88" s="8" t="inlineStr"/>
    </row>
    <row r="89">
      <c r="A89" s="7" t="n">
        <v>85</v>
      </c>
      <c r="B89" s="8" t="inlineStr">
        <is>
          <t>Pearl (MD23)</t>
        </is>
      </c>
      <c r="C89" s="9" t="n">
        <v>44196</v>
      </c>
      <c r="D89" s="10" t="n">
        <v>641</v>
      </c>
      <c r="E89" s="7" t="inlineStr">
        <is>
          <t>6575-20,6575-22,6575-32</t>
        </is>
      </c>
      <c r="F89" s="8" t="inlineStr">
        <is>
          <t>SCIENTEX HEIGHTS SDN. BHD.</t>
        </is>
      </c>
      <c r="G89" s="10" t="n"/>
      <c r="H89" s="10" t="n">
        <v>627</v>
      </c>
      <c r="I89" s="11">
        <f>H89/$D$89</f>
        <v/>
      </c>
      <c r="J89" s="10">
        <f>K89-H89</f>
        <v/>
      </c>
      <c r="K89" s="10" t="n">
        <v>627</v>
      </c>
      <c r="L89" s="11">
        <f>K89/$D$89</f>
        <v/>
      </c>
      <c r="M89" s="10">
        <f>N89-K89</f>
        <v/>
      </c>
      <c r="N89" s="10" t="n">
        <v>627</v>
      </c>
      <c r="O89" s="11">
        <f>N89/$D$89</f>
        <v/>
      </c>
      <c r="P89" s="10">
        <f>Q89-N89</f>
        <v/>
      </c>
      <c r="Q89" s="10" t="n">
        <v>627</v>
      </c>
      <c r="R89" s="11">
        <f>Q89/$D$89</f>
        <v/>
      </c>
      <c r="S89" s="12">
        <f>T89-Q89</f>
        <v/>
      </c>
      <c r="T89" s="12" t="n">
        <v>627</v>
      </c>
      <c r="U89" s="13">
        <f>T89/$D$89</f>
        <v/>
      </c>
      <c r="V89" s="8" t="inlineStr"/>
    </row>
    <row r="90">
      <c r="A90" s="7" t="n">
        <v>86</v>
      </c>
      <c r="B90" s="8" t="inlineStr">
        <is>
          <t>Scientex Jenjarom</t>
        </is>
      </c>
      <c r="C90" s="9" t="n">
        <v>45558</v>
      </c>
      <c r="D90" s="10" t="n">
        <v>303</v>
      </c>
      <c r="E90" s="7" t="inlineStr">
        <is>
          <t>30714-3</t>
        </is>
      </c>
      <c r="F90" s="8" t="inlineStr">
        <is>
          <t>SCIENTEX JENJAROM SDN. BHD.</t>
        </is>
      </c>
      <c r="G90" s="10" t="n"/>
      <c r="H90" s="10" t="n">
        <v>301</v>
      </c>
      <c r="I90" s="11">
        <f>H90/$D$90</f>
        <v/>
      </c>
      <c r="J90" s="10">
        <f>K90-H90</f>
        <v/>
      </c>
      <c r="K90" s="10" t="n">
        <v>301</v>
      </c>
      <c r="L90" s="11">
        <f>K90/$D$90</f>
        <v/>
      </c>
      <c r="M90" s="10">
        <f>N90-K90</f>
        <v/>
      </c>
      <c r="N90" s="10" t="n">
        <v>301</v>
      </c>
      <c r="O90" s="11">
        <f>N90/$D$90</f>
        <v/>
      </c>
      <c r="P90" s="10">
        <f>Q90-N90</f>
        <v/>
      </c>
      <c r="Q90" s="10" t="n">
        <v>301</v>
      </c>
      <c r="R90" s="11">
        <f>Q90/$D$90</f>
        <v/>
      </c>
      <c r="S90" s="12">
        <f>T90-Q90</f>
        <v/>
      </c>
      <c r="T90" s="12" t="n">
        <v>301</v>
      </c>
      <c r="U90" s="13">
        <f>T90/$D$90</f>
        <v/>
      </c>
      <c r="V90" s="8" t="inlineStr"/>
    </row>
    <row r="91">
      <c r="A91" s="7" t="n">
        <v>87</v>
      </c>
      <c r="B91" s="8" t="inlineStr">
        <is>
          <t>Scientex Jenjarom</t>
        </is>
      </c>
      <c r="C91" s="9" t="n">
        <v>45716</v>
      </c>
      <c r="D91" s="10" t="n">
        <v>263</v>
      </c>
      <c r="E91" s="7" t="inlineStr">
        <is>
          <t>30714-4</t>
        </is>
      </c>
      <c r="F91" s="8" t="inlineStr">
        <is>
          <t>SCIENTEX JENJAROM SDN. BHD.</t>
        </is>
      </c>
      <c r="G91" s="10" t="n"/>
      <c r="H91" s="10" t="n">
        <v>258</v>
      </c>
      <c r="I91" s="11">
        <f>H91/$D$91</f>
        <v/>
      </c>
      <c r="J91" s="10">
        <f>K91-H91</f>
        <v/>
      </c>
      <c r="K91" s="10" t="n">
        <v>258</v>
      </c>
      <c r="L91" s="11">
        <f>K91/$D$91</f>
        <v/>
      </c>
      <c r="M91" s="10">
        <f>N91-K91</f>
        <v/>
      </c>
      <c r="N91" s="10" t="n">
        <v>258</v>
      </c>
      <c r="O91" s="11">
        <f>N91/$D$91</f>
        <v/>
      </c>
      <c r="P91" s="10">
        <f>Q91-N91</f>
        <v/>
      </c>
      <c r="Q91" s="10" t="n">
        <v>258</v>
      </c>
      <c r="R91" s="11">
        <f>Q91/$D$91</f>
        <v/>
      </c>
      <c r="S91" s="12">
        <f>T91-Q91</f>
        <v/>
      </c>
      <c r="T91" s="12" t="n">
        <v>258</v>
      </c>
      <c r="U91" s="13">
        <f>T91/$D$91</f>
        <v/>
      </c>
      <c r="V91" s="8" t="inlineStr"/>
    </row>
    <row r="92">
      <c r="A92" s="7" t="n">
        <v>88</v>
      </c>
      <c r="B92" s="8" t="inlineStr">
        <is>
          <t>Bandar Scientex Jasin Presint 2</t>
        </is>
      </c>
      <c r="C92" s="9" t="n">
        <v>45670</v>
      </c>
      <c r="D92" s="10" t="n">
        <v>234</v>
      </c>
      <c r="E92" s="7" t="inlineStr">
        <is>
          <t>6575-48</t>
        </is>
      </c>
      <c r="F92" s="8" t="inlineStr">
        <is>
          <t>SCIENTEX HEIGHTS SDN. BHD.</t>
        </is>
      </c>
      <c r="G92" s="10" t="n"/>
      <c r="H92" s="10" t="n">
        <v>204</v>
      </c>
      <c r="I92" s="11">
        <f>H92/$D$92</f>
        <v/>
      </c>
      <c r="J92" s="10">
        <f>K92-H92</f>
        <v/>
      </c>
      <c r="K92" s="10" t="n">
        <v>203</v>
      </c>
      <c r="L92" s="11">
        <f>K92/$D$92</f>
        <v/>
      </c>
      <c r="M92" s="10">
        <f>N92-K92</f>
        <v/>
      </c>
      <c r="N92" s="10" t="n">
        <v>204</v>
      </c>
      <c r="O92" s="11">
        <f>N92/$D$92</f>
        <v/>
      </c>
      <c r="P92" s="10">
        <f>Q92-N92</f>
        <v/>
      </c>
      <c r="Q92" s="10" t="n">
        <v>204</v>
      </c>
      <c r="R92" s="11">
        <f>Q92/$D$92</f>
        <v/>
      </c>
      <c r="S92" s="12">
        <f>T92-Q92</f>
        <v/>
      </c>
      <c r="T92" s="12" t="n">
        <v>204</v>
      </c>
      <c r="U92" s="13">
        <f>T92/$D$92</f>
        <v/>
      </c>
      <c r="V92" s="8" t="inlineStr"/>
    </row>
    <row r="93">
      <c r="A93" s="7" t="n">
        <v>89</v>
      </c>
      <c r="B93" s="8" t="inlineStr">
        <is>
          <t>Bandar Scientex Jasin Presint 2</t>
        </is>
      </c>
      <c r="C93" s="9" t="n">
        <v>45743</v>
      </c>
      <c r="D93" s="10" t="n">
        <v>333</v>
      </c>
      <c r="E93" s="7" t="inlineStr">
        <is>
          <t>6575-49</t>
        </is>
      </c>
      <c r="F93" s="8" t="inlineStr">
        <is>
          <t>SCIENTEX HEIGHTS SDN. BHD.</t>
        </is>
      </c>
      <c r="G93" s="10" t="n"/>
      <c r="H93" s="10" t="n">
        <v>261</v>
      </c>
      <c r="I93" s="11">
        <f>H93/$D$93</f>
        <v/>
      </c>
      <c r="J93" s="10">
        <f>K93-H93</f>
        <v/>
      </c>
      <c r="K93" s="10" t="n">
        <v>262</v>
      </c>
      <c r="L93" s="11">
        <f>K93/$D$93</f>
        <v/>
      </c>
      <c r="M93" s="10">
        <f>N93-K93</f>
        <v/>
      </c>
      <c r="N93" s="10" t="n">
        <v>265</v>
      </c>
      <c r="O93" s="11">
        <f>N93/$D$93</f>
        <v/>
      </c>
      <c r="P93" s="10">
        <f>Q93-N93</f>
        <v/>
      </c>
      <c r="Q93" s="10" t="n">
        <v>266</v>
      </c>
      <c r="R93" s="11">
        <f>Q93/$D$93</f>
        <v/>
      </c>
      <c r="S93" s="12">
        <f>T93-Q93</f>
        <v/>
      </c>
      <c r="T93" s="12" t="n">
        <v>268</v>
      </c>
      <c r="U93" s="13">
        <f>T93/$D$93</f>
        <v/>
      </c>
      <c r="V93" s="8" t="inlineStr"/>
    </row>
    <row r="94">
      <c r="A94" s="7" t="n">
        <v>90</v>
      </c>
      <c r="B94" s="8" t="inlineStr">
        <is>
          <t>Bandar Scientex Jasin Presint 2</t>
        </is>
      </c>
      <c r="C94" s="9" t="n">
        <v>45972</v>
      </c>
      <c r="D94" s="10" t="n">
        <v>343</v>
      </c>
      <c r="E94" s="7" t="inlineStr">
        <is>
          <t>6575-52</t>
        </is>
      </c>
      <c r="F94" s="8" t="inlineStr">
        <is>
          <t>SCIENTEX HEIGHTS SDN. BHD.</t>
        </is>
      </c>
      <c r="G94" s="10" t="n"/>
      <c r="H94" s="10" t="n">
        <v>247</v>
      </c>
      <c r="I94" s="11">
        <f>H94/$D$94</f>
        <v/>
      </c>
      <c r="J94" s="10">
        <f>K94-H94</f>
        <v/>
      </c>
      <c r="K94" s="10" t="n">
        <v>256</v>
      </c>
      <c r="L94" s="11">
        <f>K94/$D$94</f>
        <v/>
      </c>
      <c r="M94" s="10">
        <f>N94-K94</f>
        <v/>
      </c>
      <c r="N94" s="10" t="n">
        <v>261</v>
      </c>
      <c r="O94" s="11">
        <f>N94/$D$94</f>
        <v/>
      </c>
      <c r="P94" s="10">
        <f>Q94-N94</f>
        <v/>
      </c>
      <c r="Q94" s="10" t="n">
        <v>263</v>
      </c>
      <c r="R94" s="11">
        <f>Q94/$D$94</f>
        <v/>
      </c>
      <c r="S94" s="12">
        <f>T94-Q94</f>
        <v/>
      </c>
      <c r="T94" s="12" t="n">
        <v>265</v>
      </c>
      <c r="U94" s="13">
        <f>T94/$D$94</f>
        <v/>
      </c>
      <c r="V94" s="8" t="inlineStr"/>
    </row>
    <row r="95">
      <c r="A95" s="7" t="n">
        <v>91</v>
      </c>
      <c r="B95" s="8" t="inlineStr">
        <is>
          <t>Taman Pulai Duta 2</t>
        </is>
      </c>
      <c r="C95" s="9" t="n">
        <v>46184</v>
      </c>
      <c r="D95" s="10" t="n">
        <v>283</v>
      </c>
      <c r="E95" s="7" t="inlineStr">
        <is>
          <t>9294-87</t>
        </is>
      </c>
      <c r="F95" s="8" t="inlineStr">
        <is>
          <t>SCIENTEX QUATARI SDN. BHD.</t>
        </is>
      </c>
      <c r="G95" s="10" t="n"/>
      <c r="H95" s="10" t="n">
        <v>117</v>
      </c>
      <c r="I95" s="11">
        <f>H95/$D$95</f>
        <v/>
      </c>
      <c r="J95" s="10">
        <f>K95-H95</f>
        <v/>
      </c>
      <c r="K95" s="10" t="n">
        <v>120</v>
      </c>
      <c r="L95" s="11">
        <f>K95/$D$95</f>
        <v/>
      </c>
      <c r="M95" s="10">
        <f>N95-K95</f>
        <v/>
      </c>
      <c r="N95" s="10" t="n">
        <v>120</v>
      </c>
      <c r="O95" s="11">
        <f>N95/$D$95</f>
        <v/>
      </c>
      <c r="P95" s="10">
        <f>Q95-N95</f>
        <v/>
      </c>
      <c r="Q95" s="10" t="n">
        <v>135</v>
      </c>
      <c r="R95" s="11">
        <f>Q95/$D$95</f>
        <v/>
      </c>
      <c r="S95" s="12">
        <f>T95-Q95</f>
        <v/>
      </c>
      <c r="T95" s="12" t="n">
        <v>145</v>
      </c>
      <c r="U95" s="13">
        <f>T95/$D$95</f>
        <v/>
      </c>
      <c r="V95" s="8" t="inlineStr"/>
    </row>
    <row r="96">
      <c r="A96" s="7" t="n">
        <v>92</v>
      </c>
      <c r="B96" s="8" t="inlineStr">
        <is>
          <t>Taman Scientex Park</t>
        </is>
      </c>
      <c r="C96" s="9" t="n">
        <v>43469</v>
      </c>
      <c r="D96" s="10" t="n">
        <v>209</v>
      </c>
      <c r="E96" s="7" t="inlineStr">
        <is>
          <t>6331-8</t>
        </is>
      </c>
      <c r="F96" s="8" t="inlineStr">
        <is>
          <t>SCIENTEX PARK (M) SDN. BHD.</t>
        </is>
      </c>
      <c r="G96" s="10" t="n"/>
      <c r="H96" s="10" t="n">
        <v>209</v>
      </c>
      <c r="I96" s="11">
        <f>H96/$D$96</f>
        <v/>
      </c>
      <c r="J96" s="10">
        <f>K96-H96</f>
        <v/>
      </c>
      <c r="K96" s="10" t="n">
        <v>209</v>
      </c>
      <c r="L96" s="11">
        <f>K96/$D$96</f>
        <v/>
      </c>
      <c r="M96" s="10">
        <f>N96-K96</f>
        <v/>
      </c>
      <c r="N96" s="10" t="n">
        <v>209</v>
      </c>
      <c r="O96" s="11">
        <f>N96/$D$96</f>
        <v/>
      </c>
      <c r="P96" s="10">
        <f>Q96-N96</f>
        <v/>
      </c>
      <c r="Q96" s="10" t="n">
        <v>209</v>
      </c>
      <c r="R96" s="11">
        <f>Q96/$D$96</f>
        <v/>
      </c>
      <c r="S96" s="12">
        <f>T96-Q96</f>
        <v/>
      </c>
      <c r="T96" s="12" t="n">
        <v>209</v>
      </c>
      <c r="U96" s="13">
        <f>T96/$D$96</f>
        <v/>
      </c>
      <c r="V96" s="8" t="inlineStr"/>
    </row>
    <row r="97">
      <c r="A97" s="7" t="n">
        <v>93</v>
      </c>
      <c r="B97" s="8" t="inlineStr">
        <is>
          <t>Scientex Bestari Jaya</t>
        </is>
      </c>
      <c r="C97" s="9" t="n">
        <v>46227</v>
      </c>
      <c r="D97" s="10" t="n">
        <v>220</v>
      </c>
      <c r="E97" s="7" t="inlineStr">
        <is>
          <t>6331-30</t>
        </is>
      </c>
      <c r="F97" s="8" t="inlineStr">
        <is>
          <t>SCIENTEX PARK (M) SDN. BHD.</t>
        </is>
      </c>
      <c r="G97" s="10" t="n"/>
      <c r="H97" s="10" t="n">
        <v>0</v>
      </c>
      <c r="I97" s="11">
        <f>H97/$D$97</f>
        <v/>
      </c>
      <c r="J97" s="10">
        <f>K97-H97</f>
        <v/>
      </c>
      <c r="K97" s="10" t="n">
        <v>0</v>
      </c>
      <c r="L97" s="11">
        <f>K97/$D$97</f>
        <v/>
      </c>
      <c r="M97" s="10">
        <f>N97-K97</f>
        <v/>
      </c>
      <c r="N97" s="10" t="n">
        <v>24</v>
      </c>
      <c r="O97" s="11">
        <f>N97/$D$97</f>
        <v/>
      </c>
      <c r="P97" s="10">
        <f>Q97-N97</f>
        <v/>
      </c>
      <c r="Q97" s="10" t="n">
        <v>28</v>
      </c>
      <c r="R97" s="11">
        <f>Q97/$D$97</f>
        <v/>
      </c>
      <c r="S97" s="12">
        <f>T97-Q97</f>
        <v/>
      </c>
      <c r="T97" s="12" t="n">
        <v>34</v>
      </c>
      <c r="U97" s="13">
        <f>T97/$D$97</f>
        <v/>
      </c>
      <c r="V97" s="8" t="inlineStr"/>
    </row>
    <row r="98">
      <c r="A98" s="7" t="n">
        <v>94</v>
      </c>
      <c r="B98" s="8" t="inlineStr">
        <is>
          <t>BANDAR SCIENTEX JASIN PRESINT 3</t>
        </is>
      </c>
      <c r="C98" s="9" t="n">
        <v>46296</v>
      </c>
      <c r="D98" s="10" t="n">
        <v>252</v>
      </c>
      <c r="E98" s="7" t="inlineStr">
        <is>
          <t>6575-60</t>
        </is>
      </c>
      <c r="F98" s="8" t="inlineStr">
        <is>
          <t>SCIENTEX HEIGHTS SDN. BHD.</t>
        </is>
      </c>
      <c r="G98" s="10" t="n"/>
      <c r="H98" s="10" t="n"/>
      <c r="I98" s="11" t="n"/>
      <c r="J98" s="10" t="n"/>
      <c r="K98" s="10" t="n"/>
      <c r="L98" s="11" t="n"/>
      <c r="M98" s="10" t="n"/>
      <c r="N98" s="10" t="n"/>
      <c r="O98" s="11" t="n"/>
      <c r="P98" s="10" t="n"/>
      <c r="Q98" s="10" t="n">
        <v>0</v>
      </c>
      <c r="R98" s="11">
        <f>Q98/$D$98</f>
        <v/>
      </c>
      <c r="S98" s="12">
        <f>T98-Q98</f>
        <v/>
      </c>
      <c r="T98" s="12" t="n">
        <v>17</v>
      </c>
      <c r="U98" s="13">
        <f>T98/$D$98</f>
        <v/>
      </c>
      <c r="V98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V2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(SETIA AWAN)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Astrum Ampang</t>
        </is>
      </c>
      <c r="C5" s="9" t="n">
        <v>44397</v>
      </c>
      <c r="D5" s="10" t="n">
        <v>2024</v>
      </c>
      <c r="E5" s="7" t="inlineStr">
        <is>
          <t>11590-4</t>
        </is>
      </c>
      <c r="F5" s="8" t="inlineStr">
        <is>
          <t>ASTRUM AMPANG  SDN. BHD.</t>
        </is>
      </c>
      <c r="G5" s="10" t="n"/>
      <c r="H5" s="10" t="n">
        <v>1910</v>
      </c>
      <c r="I5" s="11">
        <f>H5/$D$5</f>
        <v/>
      </c>
      <c r="J5" s="10">
        <f>K5-H5</f>
        <v/>
      </c>
      <c r="K5" s="10" t="n">
        <v>1910</v>
      </c>
      <c r="L5" s="11">
        <f>K5/$D$5</f>
        <v/>
      </c>
      <c r="M5" s="10">
        <f>N5-K5</f>
        <v/>
      </c>
      <c r="N5" s="10" t="n">
        <v>1910</v>
      </c>
      <c r="O5" s="11">
        <f>N5/$D$5</f>
        <v/>
      </c>
      <c r="P5" s="10">
        <f>Q5-N5</f>
        <v/>
      </c>
      <c r="Q5" s="10" t="n">
        <v>1910</v>
      </c>
      <c r="R5" s="11">
        <f>Q5/$D$5</f>
        <v/>
      </c>
      <c r="S5" s="12">
        <f>T5-Q5</f>
        <v/>
      </c>
      <c r="T5" s="12" t="n">
        <v>1910</v>
      </c>
      <c r="U5" s="13">
        <f>T5/$D$5</f>
        <v/>
      </c>
      <c r="V5" s="8" t="inlineStr">
        <is>
          <t>Latest sales - Block R: 1277 units, Block T: 633 units</t>
        </is>
      </c>
    </row>
    <row r="6">
      <c r="A6" s="7" t="n">
        <v>2</v>
      </c>
      <c r="B6" s="8" t="inlineStr">
        <is>
          <t>Astrum Ampang</t>
        </is>
      </c>
      <c r="C6" s="9" t="n">
        <v>44977</v>
      </c>
      <c r="D6" s="10" t="n">
        <v>1132</v>
      </c>
      <c r="E6" s="7" t="inlineStr">
        <is>
          <t>11590-5</t>
        </is>
      </c>
      <c r="F6" s="8" t="inlineStr">
        <is>
          <t>ASTRUM AMPANG  SDN. BHD.</t>
        </is>
      </c>
      <c r="G6" s="10" t="n"/>
      <c r="H6" s="10" t="n">
        <v>1003</v>
      </c>
      <c r="I6" s="11">
        <f>H6/$D$6</f>
        <v/>
      </c>
      <c r="J6" s="10">
        <f>K6-H6</f>
        <v/>
      </c>
      <c r="K6" s="10" t="n">
        <v>1006</v>
      </c>
      <c r="L6" s="11">
        <f>K6/$D$6</f>
        <v/>
      </c>
      <c r="M6" s="10">
        <f>N6-K6</f>
        <v/>
      </c>
      <c r="N6" s="10" t="n">
        <v>1006</v>
      </c>
      <c r="O6" s="11">
        <f>N6/$D$6</f>
        <v/>
      </c>
      <c r="P6" s="10">
        <f>Q6-N6</f>
        <v/>
      </c>
      <c r="Q6" s="10" t="n">
        <v>1020</v>
      </c>
      <c r="R6" s="11">
        <f>Q6/$D$6</f>
        <v/>
      </c>
      <c r="S6" s="12">
        <f>T6-Q6</f>
        <v/>
      </c>
      <c r="T6" s="12" t="n">
        <v>1023</v>
      </c>
      <c r="U6" s="13">
        <f>T6/$D$6</f>
        <v/>
      </c>
      <c r="V6" s="8" t="inlineStr">
        <is>
          <t>Latest sales - Block M: 407 units, Block U: 616 units</t>
        </is>
      </c>
    </row>
    <row r="7">
      <c r="A7" s="7" t="n">
        <v>3</v>
      </c>
      <c r="B7" s="8" t="inlineStr">
        <is>
          <t>Klebang Cove Residensi</t>
        </is>
      </c>
      <c r="C7" s="9" t="n">
        <v>45271</v>
      </c>
      <c r="D7" s="10" t="n">
        <v>648</v>
      </c>
      <c r="E7" s="7" t="inlineStr">
        <is>
          <t>30428-1</t>
        </is>
      </c>
      <c r="F7" s="8" t="inlineStr">
        <is>
          <t>PLUTOVEST SDN. BHD.</t>
        </is>
      </c>
      <c r="G7" s="10" t="n"/>
      <c r="H7" s="10" t="n">
        <v>225</v>
      </c>
      <c r="I7" s="11">
        <f>H7/$D$7</f>
        <v/>
      </c>
      <c r="J7" s="10">
        <f>K7-H7</f>
        <v/>
      </c>
      <c r="K7" s="10" t="n">
        <v>227</v>
      </c>
      <c r="L7" s="11">
        <f>K7/$D$7</f>
        <v/>
      </c>
      <c r="M7" s="10">
        <f>N7-K7</f>
        <v/>
      </c>
      <c r="N7" s="10" t="n">
        <v>235</v>
      </c>
      <c r="O7" s="11">
        <f>N7/$D$7</f>
        <v/>
      </c>
      <c r="P7" s="10">
        <f>Q7-N7</f>
        <v/>
      </c>
      <c r="Q7" s="10" t="n">
        <v>240</v>
      </c>
      <c r="R7" s="11">
        <f>Q7/$D$7</f>
        <v/>
      </c>
      <c r="S7" s="12">
        <f>T7-Q7</f>
        <v/>
      </c>
      <c r="T7" s="12" t="n">
        <v>245</v>
      </c>
      <c r="U7" s="13">
        <f>T7/$D$7</f>
        <v/>
      </c>
      <c r="V7" s="8" t="inlineStr">
        <is>
          <t>Latest sales - Block A: 68 units, Block B: 39 units, Block C: 92 units, Block D: 46 units</t>
        </is>
      </c>
    </row>
    <row r="8">
      <c r="A8" s="7" t="n">
        <v>4</v>
      </c>
      <c r="B8" s="8" t="inlineStr">
        <is>
          <t>Taman Bidor Bistari 2</t>
        </is>
      </c>
      <c r="C8" s="9" t="n">
        <v>45484</v>
      </c>
      <c r="D8" s="10" t="n">
        <v>374</v>
      </c>
      <c r="E8" s="7" t="inlineStr">
        <is>
          <t>30442-1</t>
        </is>
      </c>
      <c r="F8" s="8" t="inlineStr">
        <is>
          <t>SURIA LAFAZ SDN. BHD.</t>
        </is>
      </c>
      <c r="G8" s="10" t="n"/>
      <c r="H8" s="10" t="n">
        <v>367</v>
      </c>
      <c r="I8" s="11">
        <f>H8/$D$8</f>
        <v/>
      </c>
      <c r="J8" s="10">
        <f>K8-H8</f>
        <v/>
      </c>
      <c r="K8" s="10" t="n">
        <v>367</v>
      </c>
      <c r="L8" s="11">
        <f>K8/$D$8</f>
        <v/>
      </c>
      <c r="M8" s="10">
        <f>N8-K8</f>
        <v/>
      </c>
      <c r="N8" s="10" t="n">
        <v>368</v>
      </c>
      <c r="O8" s="11">
        <f>N8/$D$8</f>
        <v/>
      </c>
      <c r="P8" s="10">
        <f>Q8-N8</f>
        <v/>
      </c>
      <c r="Q8" s="10" t="n">
        <v>371</v>
      </c>
      <c r="R8" s="11">
        <f>Q8/$D$8</f>
        <v/>
      </c>
      <c r="S8" s="12">
        <f>T8-Q8</f>
        <v/>
      </c>
      <c r="T8" s="12" t="n">
        <v>373</v>
      </c>
      <c r="U8" s="13">
        <f>T8/$D$8</f>
        <v/>
      </c>
      <c r="V8" s="8" t="inlineStr"/>
    </row>
    <row r="9">
      <c r="A9" s="7" t="n">
        <v>5</v>
      </c>
      <c r="B9" s="8" t="inlineStr">
        <is>
          <t>Taman Bidor Bistari 2</t>
        </is>
      </c>
      <c r="C9" s="9" t="n">
        <v>45721</v>
      </c>
      <c r="D9" s="10" t="n">
        <v>457</v>
      </c>
      <c r="E9" s="7" t="inlineStr">
        <is>
          <t>30442-2</t>
        </is>
      </c>
      <c r="F9" s="8" t="inlineStr">
        <is>
          <t>SURIA LAFAZ SDN. BHD.</t>
        </is>
      </c>
      <c r="G9" s="10" t="n"/>
      <c r="H9" s="10" t="n">
        <v>82</v>
      </c>
      <c r="I9" s="11">
        <f>H9/$D$9</f>
        <v/>
      </c>
      <c r="J9" s="10">
        <f>K9-H9</f>
        <v/>
      </c>
      <c r="K9" s="10" t="n">
        <v>108</v>
      </c>
      <c r="L9" s="11">
        <f>K9/$D$9</f>
        <v/>
      </c>
      <c r="M9" s="10">
        <f>N9-K9</f>
        <v/>
      </c>
      <c r="N9" s="10" t="n">
        <v>118</v>
      </c>
      <c r="O9" s="11">
        <f>N9/$D$9</f>
        <v/>
      </c>
      <c r="P9" s="10">
        <f>Q9-N9</f>
        <v/>
      </c>
      <c r="Q9" s="10" t="n">
        <v>122</v>
      </c>
      <c r="R9" s="11">
        <f>Q9/$D$9</f>
        <v/>
      </c>
      <c r="S9" s="12">
        <f>T9-Q9</f>
        <v/>
      </c>
      <c r="T9" s="12" t="n">
        <v>146</v>
      </c>
      <c r="U9" s="13">
        <f>T9/$D$9</f>
        <v/>
      </c>
      <c r="V9" s="8" t="inlineStr"/>
    </row>
    <row r="10">
      <c r="A10" s="7" t="n">
        <v>6</v>
      </c>
      <c r="B10" s="8" t="inlineStr">
        <is>
          <t>Astrum Shah Alam</t>
        </is>
      </c>
      <c r="C10" s="9" t="n">
        <v>45485</v>
      </c>
      <c r="D10" s="10" t="n">
        <v>858</v>
      </c>
      <c r="E10" s="7" t="inlineStr">
        <is>
          <t>30552-1</t>
        </is>
      </c>
      <c r="F10" s="8" t="inlineStr">
        <is>
          <t>ASTRUM SHAH ALAM SDN. BHD.</t>
        </is>
      </c>
      <c r="G10" s="10" t="n"/>
      <c r="H10" s="10" t="n">
        <v>829</v>
      </c>
      <c r="I10" s="11">
        <f>H10/$D$10</f>
        <v/>
      </c>
      <c r="J10" s="10">
        <f>K10-H10</f>
        <v/>
      </c>
      <c r="K10" s="10" t="n">
        <v>829</v>
      </c>
      <c r="L10" s="11">
        <f>K10/$D$10</f>
        <v/>
      </c>
      <c r="M10" s="10">
        <f>N10-K10</f>
        <v/>
      </c>
      <c r="N10" s="10" t="n">
        <v>829</v>
      </c>
      <c r="O10" s="11">
        <f>N10/$D$10</f>
        <v/>
      </c>
      <c r="P10" s="10">
        <f>Q10-N10</f>
        <v/>
      </c>
      <c r="Q10" s="10" t="n">
        <v>829</v>
      </c>
      <c r="R10" s="11">
        <f>Q10/$D$10</f>
        <v/>
      </c>
      <c r="S10" s="12">
        <f>T10-Q10</f>
        <v/>
      </c>
      <c r="T10" s="12" t="n">
        <v>829</v>
      </c>
      <c r="U10" s="13">
        <f>T10/$D$10</f>
        <v/>
      </c>
      <c r="V10" s="8" t="inlineStr">
        <is>
          <t>Latest sales - Block A: 384 units, Block B: 445 units</t>
        </is>
      </c>
    </row>
    <row r="11">
      <c r="A11" s="7" t="n">
        <v>7</v>
      </c>
      <c r="B11" s="8" t="inlineStr">
        <is>
          <t>Astrum Shah Alam</t>
        </is>
      </c>
      <c r="C11" s="9" t="n">
        <v>45621</v>
      </c>
      <c r="D11" s="10" t="n">
        <v>394</v>
      </c>
      <c r="E11" s="7" t="inlineStr">
        <is>
          <t>30552-2</t>
        </is>
      </c>
      <c r="F11" s="8" t="inlineStr">
        <is>
          <t>ASTRUM SHAH ALAM SDN. BHD.</t>
        </is>
      </c>
      <c r="G11" s="10" t="n"/>
      <c r="H11" s="10" t="n">
        <v>355</v>
      </c>
      <c r="I11" s="11">
        <f>H11/$D$11</f>
        <v/>
      </c>
      <c r="J11" s="10">
        <f>K11-H11</f>
        <v/>
      </c>
      <c r="K11" s="10" t="n">
        <v>355</v>
      </c>
      <c r="L11" s="11">
        <f>K11/$D$11</f>
        <v/>
      </c>
      <c r="M11" s="10">
        <f>N11-K11</f>
        <v/>
      </c>
      <c r="N11" s="10" t="n">
        <v>357</v>
      </c>
      <c r="O11" s="11">
        <f>N11/$D$11</f>
        <v/>
      </c>
      <c r="P11" s="10">
        <f>Q11-N11</f>
        <v/>
      </c>
      <c r="Q11" s="10" t="n">
        <v>358</v>
      </c>
      <c r="R11" s="11">
        <f>Q11/$D$11</f>
        <v/>
      </c>
      <c r="S11" s="12">
        <f>T11-Q11</f>
        <v/>
      </c>
      <c r="T11" s="12" t="n">
        <v>358</v>
      </c>
      <c r="U11" s="13">
        <f>T11/$D$11</f>
        <v/>
      </c>
      <c r="V11" s="8" t="inlineStr">
        <is>
          <t>Latest sales - Block C: 358 units</t>
        </is>
      </c>
    </row>
    <row r="12">
      <c r="A12" s="7" t="n">
        <v>8</v>
      </c>
      <c r="B12" s="8" t="inlineStr">
        <is>
          <t>Taman Sutera Wangi</t>
        </is>
      </c>
      <c r="C12" s="9" t="n">
        <v>45567</v>
      </c>
      <c r="D12" s="10" t="n">
        <v>256</v>
      </c>
      <c r="E12" s="7" t="inlineStr">
        <is>
          <t>30783-1</t>
        </is>
      </c>
      <c r="F12" s="8" t="inlineStr">
        <is>
          <t>NUSA MURNI SDN. BHD.</t>
        </is>
      </c>
      <c r="G12" s="10" t="n"/>
      <c r="H12" s="10" t="n">
        <v>205</v>
      </c>
      <c r="I12" s="11">
        <f>H12/$D$12</f>
        <v/>
      </c>
      <c r="J12" s="10">
        <f>K12-H12</f>
        <v/>
      </c>
      <c r="K12" s="10" t="n">
        <v>206</v>
      </c>
      <c r="L12" s="11">
        <f>K12/$D$12</f>
        <v/>
      </c>
      <c r="M12" s="10">
        <f>N12-K12</f>
        <v/>
      </c>
      <c r="N12" s="10" t="n">
        <v>207</v>
      </c>
      <c r="O12" s="11">
        <f>N12/$D$12</f>
        <v/>
      </c>
      <c r="P12" s="10">
        <f>Q12-N12</f>
        <v/>
      </c>
      <c r="Q12" s="10" t="n">
        <v>208</v>
      </c>
      <c r="R12" s="11">
        <f>Q12/$D$12</f>
        <v/>
      </c>
      <c r="S12" s="12">
        <f>T12-Q12</f>
        <v/>
      </c>
      <c r="T12" s="12" t="n">
        <v>211</v>
      </c>
      <c r="U12" s="13">
        <f>T12/$D$12</f>
        <v/>
      </c>
      <c r="V12" s="8" t="inlineStr"/>
    </row>
    <row r="13">
      <c r="A13" s="7" t="n">
        <v>9</v>
      </c>
      <c r="B13" s="8" t="inlineStr">
        <is>
          <t>Taman Sutera Wangi</t>
        </is>
      </c>
      <c r="C13" s="9" t="n">
        <v>46206</v>
      </c>
      <c r="D13" s="10" t="n">
        <v>97</v>
      </c>
      <c r="E13" s="7" t="inlineStr">
        <is>
          <t>30783-2</t>
        </is>
      </c>
      <c r="F13" s="8" t="inlineStr">
        <is>
          <t>NUSA MURNI SDN. BHD.</t>
        </is>
      </c>
      <c r="G13" s="10" t="n"/>
      <c r="H13" s="10" t="n">
        <v>0</v>
      </c>
      <c r="I13" s="11">
        <f>H13/$D$13</f>
        <v/>
      </c>
      <c r="J13" s="10">
        <f>K13-H13</f>
        <v/>
      </c>
      <c r="K13" s="10" t="n">
        <v>0</v>
      </c>
      <c r="L13" s="11">
        <f>K13/$D$13</f>
        <v/>
      </c>
      <c r="M13" s="10">
        <f>N13-K13</f>
        <v/>
      </c>
      <c r="N13" s="10" t="n">
        <v>0</v>
      </c>
      <c r="O13" s="11">
        <f>N13/$D$13</f>
        <v/>
      </c>
      <c r="P13" s="10">
        <f>Q13-N13</f>
        <v/>
      </c>
      <c r="Q13" s="10" t="n">
        <v>0</v>
      </c>
      <c r="R13" s="11">
        <f>Q13/$D$13</f>
        <v/>
      </c>
      <c r="S13" s="12">
        <f>T13-Q13</f>
        <v/>
      </c>
      <c r="T13" s="12" t="n">
        <v>1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Sena Residences</t>
        </is>
      </c>
      <c r="C14" s="9" t="n">
        <v>45939</v>
      </c>
      <c r="D14" s="10" t="n">
        <v>2042</v>
      </c>
      <c r="E14" s="7" t="inlineStr">
        <is>
          <t>31070-1</t>
        </is>
      </c>
      <c r="F14" s="8" t="inlineStr">
        <is>
          <t>STARHILL CENTURY SDN. BHD.</t>
        </is>
      </c>
      <c r="G14" s="10" t="n"/>
      <c r="H14" s="10" t="n">
        <v>1043</v>
      </c>
      <c r="I14" s="11">
        <f>H14/$D$14</f>
        <v/>
      </c>
      <c r="J14" s="10">
        <f>K14-H14</f>
        <v/>
      </c>
      <c r="K14" s="10" t="n">
        <v>1071</v>
      </c>
      <c r="L14" s="11">
        <f>K14/$D$14</f>
        <v/>
      </c>
      <c r="M14" s="10">
        <f>N14-K14</f>
        <v/>
      </c>
      <c r="N14" s="10" t="n">
        <v>1102</v>
      </c>
      <c r="O14" s="11">
        <f>N14/$D$14</f>
        <v/>
      </c>
      <c r="P14" s="10">
        <f>Q14-N14</f>
        <v/>
      </c>
      <c r="Q14" s="10" t="n">
        <v>1131</v>
      </c>
      <c r="R14" s="11">
        <f>Q14/$D$14</f>
        <v/>
      </c>
      <c r="S14" s="12">
        <f>T14-Q14</f>
        <v/>
      </c>
      <c r="T14" s="12" t="n">
        <v>1143</v>
      </c>
      <c r="U14" s="13">
        <f>T14/$D$14</f>
        <v/>
      </c>
      <c r="V14" s="8" t="inlineStr">
        <is>
          <t>Latest sales - Block A: 200 units, Block B: 539 units, Block C: 111 units, Block D: 293 units</t>
        </is>
      </c>
    </row>
    <row r="15">
      <c r="A15" s="7" t="n">
        <v>11</v>
      </c>
      <c r="B15" s="8" t="inlineStr">
        <is>
          <t>Residensi Bayu 3</t>
        </is>
      </c>
      <c r="C15" s="9" t="n">
        <v>44935</v>
      </c>
      <c r="D15" s="10" t="n">
        <v>300</v>
      </c>
      <c r="E15" s="7" t="inlineStr">
        <is>
          <t>9994-4</t>
        </is>
      </c>
      <c r="F15" s="8" t="inlineStr">
        <is>
          <t>WANGSA KERINGAT DEVELOPMENT SDN. BHD.</t>
        </is>
      </c>
      <c r="G15" s="10" t="n"/>
      <c r="H15" s="10" t="n">
        <v>157</v>
      </c>
      <c r="I15" s="11">
        <f>H15/$D$15</f>
        <v/>
      </c>
      <c r="J15" s="10">
        <f>K15-H15</f>
        <v/>
      </c>
      <c r="K15" s="10" t="n">
        <v>159</v>
      </c>
      <c r="L15" s="11">
        <f>K15/$D$15</f>
        <v/>
      </c>
      <c r="M15" s="10">
        <f>N15-K15</f>
        <v/>
      </c>
      <c r="N15" s="10" t="n">
        <v>158</v>
      </c>
      <c r="O15" s="11">
        <f>N15/$D$15</f>
        <v/>
      </c>
      <c r="P15" s="10">
        <f>Q15-N15</f>
        <v/>
      </c>
      <c r="Q15" s="10" t="n">
        <v>159</v>
      </c>
      <c r="R15" s="11">
        <f>Q15/$D$15</f>
        <v/>
      </c>
      <c r="S15" s="12">
        <f>T15-Q15</f>
        <v/>
      </c>
      <c r="T15" s="12" t="n">
        <v>160</v>
      </c>
      <c r="U15" s="13">
        <f>T15/$D$15</f>
        <v/>
      </c>
      <c r="V15" s="8" t="inlineStr">
        <is>
          <t>Latest sales - Block A: 46 units, Block B: 114 units</t>
        </is>
      </c>
    </row>
    <row r="16">
      <c r="A16" s="7" t="n">
        <v>12</v>
      </c>
      <c r="B16" s="8" t="inlineStr">
        <is>
          <t>Brezza Hill</t>
        </is>
      </c>
      <c r="C16" s="9" t="n">
        <v>41978</v>
      </c>
      <c r="D16" s="10" t="n">
        <v>660</v>
      </c>
      <c r="E16" s="7" t="inlineStr">
        <is>
          <t>9994-3</t>
        </is>
      </c>
      <c r="F16" s="8" t="inlineStr"/>
      <c r="G16" s="10" t="n"/>
      <c r="H16" s="10" t="n">
        <v>472</v>
      </c>
      <c r="I16" s="11">
        <f>H16/$D$16</f>
        <v/>
      </c>
      <c r="J16" s="10">
        <f>K16-H16</f>
        <v/>
      </c>
      <c r="K16" s="10" t="n">
        <v>472</v>
      </c>
      <c r="L16" s="11">
        <f>K16/$D$16</f>
        <v/>
      </c>
      <c r="M16" s="10">
        <f>N16-K16</f>
        <v/>
      </c>
      <c r="N16" s="10" t="n">
        <v>472</v>
      </c>
      <c r="O16" s="11">
        <f>N16/$D$16</f>
        <v/>
      </c>
      <c r="P16" s="10">
        <f>Q16-N16</f>
        <v/>
      </c>
      <c r="Q16" s="10" t="n">
        <v>472</v>
      </c>
      <c r="R16" s="11">
        <f>Q16/$D$16</f>
        <v/>
      </c>
      <c r="S16" s="12">
        <f>T16-Q16</f>
        <v/>
      </c>
      <c r="T16" s="12" t="n">
        <v>472</v>
      </c>
      <c r="U16" s="13">
        <f>T16/$D$16</f>
        <v/>
      </c>
      <c r="V16" s="8" t="inlineStr">
        <is>
          <t>Latest sales - Block A: 110 units, Block B: 142 units, Block C: 79 units, Block D: 141 units</t>
        </is>
      </c>
    </row>
    <row r="17">
      <c r="A17" s="7" t="n">
        <v>13</v>
      </c>
      <c r="B17" s="8" t="inlineStr">
        <is>
          <t>Kemayan Heights</t>
        </is>
      </c>
      <c r="C17" s="9" t="n">
        <v>43463</v>
      </c>
      <c r="D17" s="10" t="n">
        <v>120</v>
      </c>
      <c r="E17" s="7" t="inlineStr">
        <is>
          <t>10346-2</t>
        </is>
      </c>
      <c r="F17" s="8" t="inlineStr"/>
      <c r="G17" s="10" t="n"/>
      <c r="H17" s="10" t="n">
        <v>36</v>
      </c>
      <c r="I17" s="11">
        <f>H17/$D$17</f>
        <v/>
      </c>
      <c r="J17" s="10">
        <f>K17-H17</f>
        <v/>
      </c>
      <c r="K17" s="10" t="n">
        <v>36</v>
      </c>
      <c r="L17" s="11">
        <f>K17/$D$17</f>
        <v/>
      </c>
      <c r="M17" s="10">
        <f>N17-K17</f>
        <v/>
      </c>
      <c r="N17" s="10" t="n">
        <v>36</v>
      </c>
      <c r="O17" s="11">
        <f>N17/$D$17</f>
        <v/>
      </c>
      <c r="P17" s="10">
        <f>Q17-N17</f>
        <v/>
      </c>
      <c r="Q17" s="10" t="n">
        <v>36</v>
      </c>
      <c r="R17" s="11">
        <f>Q17/$D$17</f>
        <v/>
      </c>
      <c r="S17" s="12">
        <f>T17-Q17</f>
        <v/>
      </c>
      <c r="T17" s="12" t="n">
        <v>36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Residensi Seri Serindit</t>
        </is>
      </c>
      <c r="C18" s="9" t="n">
        <v>43145</v>
      </c>
      <c r="D18" s="10" t="n">
        <v>2070</v>
      </c>
      <c r="E18" s="7" t="inlineStr">
        <is>
          <t>19314-1</t>
        </is>
      </c>
      <c r="F18" s="8" t="inlineStr"/>
      <c r="G18" s="10" t="n"/>
      <c r="H18" s="10" t="n">
        <v>1621</v>
      </c>
      <c r="I18" s="11">
        <f>H18/$D$18</f>
        <v/>
      </c>
      <c r="J18" s="10">
        <f>K18-H18</f>
        <v/>
      </c>
      <c r="K18" s="10" t="n">
        <v>1621</v>
      </c>
      <c r="L18" s="11">
        <f>K18/$D$18</f>
        <v/>
      </c>
      <c r="M18" s="10">
        <f>N18-K18</f>
        <v/>
      </c>
      <c r="N18" s="10" t="n">
        <v>1621</v>
      </c>
      <c r="O18" s="11">
        <f>N18/$D$18</f>
        <v/>
      </c>
      <c r="P18" s="10">
        <f>Q18-N18</f>
        <v/>
      </c>
      <c r="Q18" s="10" t="n">
        <v>1621</v>
      </c>
      <c r="R18" s="11">
        <f>Q18/$D$18</f>
        <v/>
      </c>
      <c r="S18" s="12">
        <f>T18-Q18</f>
        <v/>
      </c>
      <c r="T18" s="12" t="n">
        <v>1621</v>
      </c>
      <c r="U18" s="13">
        <f>T18/$D$18</f>
        <v/>
      </c>
      <c r="V18" s="8" t="inlineStr">
        <is>
          <t>Latest sales - Block A: 289 units, Block B: 406 units, Block C: 135 units, Block D: 395 units, Block E: 396 units</t>
        </is>
      </c>
    </row>
    <row r="19">
      <c r="A19" s="7" t="n">
        <v>15</v>
      </c>
      <c r="B19" s="8" t="inlineStr">
        <is>
          <t>Residensi Jati De Meru</t>
        </is>
      </c>
      <c r="C19" s="9" t="n">
        <v>45302</v>
      </c>
      <c r="D19" s="10" t="n">
        <v>1084</v>
      </c>
      <c r="E19" s="7" t="inlineStr">
        <is>
          <t>30155-1</t>
        </is>
      </c>
      <c r="F19" s="8" t="inlineStr">
        <is>
          <t>MAJU TELUK BATIK SDN BHD.</t>
        </is>
      </c>
      <c r="G19" s="10" t="n"/>
      <c r="H19" s="10" t="n"/>
      <c r="I19" s="11" t="n"/>
      <c r="J19" s="10" t="n"/>
      <c r="K19" s="10" t="n"/>
      <c r="L19" s="11" t="n"/>
      <c r="M19" s="10" t="n"/>
      <c r="N19" s="10" t="n">
        <v>925</v>
      </c>
      <c r="O19" s="11">
        <f>N19/$D$19</f>
        <v/>
      </c>
      <c r="P19" s="10">
        <f>Q19-N19</f>
        <v/>
      </c>
      <c r="Q19" s="10" t="n">
        <v>932</v>
      </c>
      <c r="R19" s="11">
        <f>Q19/$D$19</f>
        <v/>
      </c>
      <c r="S19" s="12">
        <f>T19-Q19</f>
        <v/>
      </c>
      <c r="T19" s="12" t="n">
        <v>936</v>
      </c>
      <c r="U19" s="13">
        <f>T19/$D$19</f>
        <v/>
      </c>
      <c r="V19" s="8" t="inlineStr">
        <is>
          <t>Latest sales - Block B: 450 units, Block C: 486 units</t>
        </is>
      </c>
    </row>
    <row r="20">
      <c r="A20" s="7" t="n">
        <v>16</v>
      </c>
      <c r="B20" s="8" t="inlineStr">
        <is>
          <t>Residensi Jati De Meru (Phase 1B)</t>
        </is>
      </c>
      <c r="C20" s="9" t="n">
        <v>46224</v>
      </c>
      <c r="D20" s="10" t="n">
        <v>1084</v>
      </c>
      <c r="E20" s="7" t="inlineStr">
        <is>
          <t>30155-2</t>
        </is>
      </c>
      <c r="F20" s="8" t="inlineStr">
        <is>
          <t>MAJU TELUK BATIK SDN BHD.</t>
        </is>
      </c>
      <c r="G20" s="10" t="n"/>
      <c r="H20" s="10" t="n"/>
      <c r="I20" s="11" t="n"/>
      <c r="J20" s="10" t="n"/>
      <c r="K20" s="10" t="n"/>
      <c r="L20" s="11" t="n"/>
      <c r="M20" s="10" t="n"/>
      <c r="N20" s="10" t="n">
        <v>12</v>
      </c>
      <c r="O20" s="11">
        <f>N20/$D$20</f>
        <v/>
      </c>
      <c r="P20" s="10">
        <f>Q20-N20</f>
        <v/>
      </c>
      <c r="Q20" s="10" t="n">
        <v>16</v>
      </c>
      <c r="R20" s="11">
        <f>Q20/$D$20</f>
        <v/>
      </c>
      <c r="S20" s="12">
        <f>T20-Q20</f>
        <v/>
      </c>
      <c r="T20" s="12" t="n">
        <v>18</v>
      </c>
      <c r="U20" s="13">
        <f>T20/$D$20</f>
        <v/>
      </c>
      <c r="V20" s="8" t="inlineStr">
        <is>
          <t>Latest sales - Block A: 18 units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V10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(SIME DARBY)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Teja</t>
        </is>
      </c>
      <c r="C5" s="9" t="n">
        <v>45021</v>
      </c>
      <c r="D5" s="10" t="n">
        <v>271</v>
      </c>
      <c r="E5" s="7" t="inlineStr">
        <is>
          <t>10991-4</t>
        </is>
      </c>
      <c r="F5" s="8" t="inlineStr">
        <is>
          <t>SIME DARBY PROPERTY (SUBANG) SDN. BHD.</t>
        </is>
      </c>
      <c r="G5" s="10" t="n"/>
      <c r="H5" s="10" t="n">
        <v>271</v>
      </c>
      <c r="I5" s="11">
        <f>H5/$D$5</f>
        <v/>
      </c>
      <c r="J5" s="10">
        <f>K5-H5</f>
        <v/>
      </c>
      <c r="K5" s="10" t="n">
        <v>271</v>
      </c>
      <c r="L5" s="11">
        <f>K5/$D$5</f>
        <v/>
      </c>
      <c r="M5" s="10">
        <f>N5-K5</f>
        <v/>
      </c>
      <c r="N5" s="10" t="n">
        <v>271</v>
      </c>
      <c r="O5" s="11">
        <f>N5/$D$5</f>
        <v/>
      </c>
      <c r="P5" s="10">
        <f>Q5-N5</f>
        <v/>
      </c>
      <c r="Q5" s="10" t="n">
        <v>271</v>
      </c>
      <c r="R5" s="11">
        <f>Q5/$D$5</f>
        <v/>
      </c>
      <c r="S5" s="12">
        <f>T5-Q5</f>
        <v/>
      </c>
      <c r="T5" s="12" t="n">
        <v>271</v>
      </c>
      <c r="U5" s="13">
        <f>T5/$D$5</f>
        <v/>
      </c>
      <c r="V5" s="8" t="inlineStr">
        <is>
          <t>Latest sales - Block A: 138 units, Block B: 133 units</t>
        </is>
      </c>
    </row>
    <row r="6">
      <c r="A6" s="7" t="n">
        <v>2</v>
      </c>
      <c r="B6" s="8" t="inlineStr">
        <is>
          <t>East One (tentative)</t>
        </is>
      </c>
      <c r="C6" s="9" t="n">
        <v>45770</v>
      </c>
      <c r="D6" s="10" t="n">
        <v>926</v>
      </c>
      <c r="E6" s="7" t="inlineStr">
        <is>
          <t>10991-5</t>
        </is>
      </c>
      <c r="F6" s="8" t="inlineStr">
        <is>
          <t>SIME DARBY PROPERTY (SUBANG) SDN. BHD.</t>
        </is>
      </c>
      <c r="G6" s="10" t="n"/>
      <c r="H6" s="10" t="n">
        <v>605</v>
      </c>
      <c r="I6" s="11">
        <f>H6/$D$6</f>
        <v/>
      </c>
      <c r="J6" s="10">
        <f>K6-H6</f>
        <v/>
      </c>
      <c r="K6" s="10" t="n">
        <v>613</v>
      </c>
      <c r="L6" s="11">
        <f>K6/$D$6</f>
        <v/>
      </c>
      <c r="M6" s="10">
        <f>N6-K6</f>
        <v/>
      </c>
      <c r="N6" s="10" t="n">
        <v>616</v>
      </c>
      <c r="O6" s="11">
        <f>N6/$D$6</f>
        <v/>
      </c>
      <c r="P6" s="10">
        <f>Q6-N6</f>
        <v/>
      </c>
      <c r="Q6" s="10" t="n">
        <v>620</v>
      </c>
      <c r="R6" s="11">
        <f>Q6/$D$6</f>
        <v/>
      </c>
      <c r="S6" s="12">
        <f>T6-Q6</f>
        <v/>
      </c>
      <c r="T6" s="12" t="n">
        <v>620</v>
      </c>
      <c r="U6" s="13">
        <f>T6/$D$6</f>
        <v/>
      </c>
      <c r="V6" s="8" t="inlineStr">
        <is>
          <t>Latest sales - Block A: 264 units, Block B: 356 units</t>
        </is>
      </c>
    </row>
    <row r="7">
      <c r="A7" s="7" t="n">
        <v>3</v>
      </c>
      <c r="B7" s="8" t="inlineStr">
        <is>
          <t>Suasana Ainsdale 2</t>
        </is>
      </c>
      <c r="C7" s="9" t="n">
        <v>45415</v>
      </c>
      <c r="D7" s="10" t="n">
        <v>43</v>
      </c>
      <c r="E7" s="7" t="inlineStr">
        <is>
          <t>12408-16</t>
        </is>
      </c>
      <c r="F7" s="8" t="inlineStr">
        <is>
          <t>SIME DARBY PROPERTY (AINSDALE) SDN. BHD.</t>
        </is>
      </c>
      <c r="G7" s="10" t="n"/>
      <c r="H7" s="10" t="n">
        <v>0</v>
      </c>
      <c r="I7" s="11">
        <f>H7/$D$7</f>
        <v/>
      </c>
      <c r="J7" s="10">
        <f>K7-H7</f>
        <v/>
      </c>
      <c r="K7" s="10" t="n">
        <v>0</v>
      </c>
      <c r="L7" s="11">
        <f>K7/$D$7</f>
        <v/>
      </c>
      <c r="M7" s="10">
        <f>N7-K7</f>
        <v/>
      </c>
      <c r="N7" s="10" t="n">
        <v>0</v>
      </c>
      <c r="O7" s="11">
        <f>N7/$D$7</f>
        <v/>
      </c>
      <c r="P7" s="10">
        <f>Q7-N7</f>
        <v/>
      </c>
      <c r="Q7" s="10" t="n">
        <v>0</v>
      </c>
      <c r="R7" s="11">
        <f>Q7/$D$7</f>
        <v/>
      </c>
      <c r="S7" s="12">
        <f>T7-Q7</f>
        <v/>
      </c>
      <c r="T7" s="12" t="n">
        <v>0</v>
      </c>
      <c r="U7" s="13">
        <f>T7/$D$7</f>
        <v/>
      </c>
      <c r="V7" s="8" t="inlineStr"/>
    </row>
    <row r="8">
      <c r="A8" s="7" t="n">
        <v>4</v>
      </c>
      <c r="B8" s="8" t="inlineStr">
        <is>
          <t>Suasana Ainsdale 2</t>
        </is>
      </c>
      <c r="C8" s="9" t="n">
        <v>45415</v>
      </c>
      <c r="D8" s="10" t="n">
        <v>59</v>
      </c>
      <c r="E8" s="7" t="inlineStr">
        <is>
          <t>12408-17</t>
        </is>
      </c>
      <c r="F8" s="8" t="inlineStr">
        <is>
          <t>SIME DARBY PROPERTY (AINSDALE) SDN. BHD.</t>
        </is>
      </c>
      <c r="G8" s="10" t="n"/>
      <c r="H8" s="10" t="n">
        <v>0</v>
      </c>
      <c r="I8" s="11">
        <f>H8/$D$8</f>
        <v/>
      </c>
      <c r="J8" s="10">
        <f>K8-H8</f>
        <v/>
      </c>
      <c r="K8" s="10" t="n">
        <v>0</v>
      </c>
      <c r="L8" s="11">
        <f>K8/$D$8</f>
        <v/>
      </c>
      <c r="M8" s="10">
        <f>N8-K8</f>
        <v/>
      </c>
      <c r="N8" s="10" t="n">
        <v>0</v>
      </c>
      <c r="O8" s="11">
        <f>N8/$D$8</f>
        <v/>
      </c>
      <c r="P8" s="10">
        <f>Q8-N8</f>
        <v/>
      </c>
      <c r="Q8" s="10" t="n">
        <v>0</v>
      </c>
      <c r="R8" s="11">
        <f>Q8/$D$8</f>
        <v/>
      </c>
      <c r="S8" s="12">
        <f>T8-Q8</f>
        <v/>
      </c>
      <c r="T8" s="12" t="n">
        <v>0</v>
      </c>
      <c r="U8" s="13">
        <f>T8/$D$8</f>
        <v/>
      </c>
      <c r="V8" s="8" t="inlineStr"/>
    </row>
    <row r="9">
      <c r="A9" s="7" t="n">
        <v>5</v>
      </c>
      <c r="B9" s="8" t="inlineStr">
        <is>
          <t>Suasana Ainsdale 2</t>
        </is>
      </c>
      <c r="C9" s="9" t="n">
        <v>45415</v>
      </c>
      <c r="D9" s="10" t="n">
        <v>49</v>
      </c>
      <c r="E9" s="7" t="inlineStr">
        <is>
          <t>12408-18</t>
        </is>
      </c>
      <c r="F9" s="8" t="inlineStr">
        <is>
          <t>SIME DARBY PROPERTY (AINSDALE) SDN. BHD.</t>
        </is>
      </c>
      <c r="G9" s="10" t="n"/>
      <c r="H9" s="10" t="n">
        <v>22</v>
      </c>
      <c r="I9" s="11">
        <f>H9/$D$9</f>
        <v/>
      </c>
      <c r="J9" s="10">
        <f>K9-H9</f>
        <v/>
      </c>
      <c r="K9" s="10" t="n">
        <v>22</v>
      </c>
      <c r="L9" s="11">
        <f>K9/$D$9</f>
        <v/>
      </c>
      <c r="M9" s="10">
        <f>N9-K9</f>
        <v/>
      </c>
      <c r="N9" s="10" t="n">
        <v>22</v>
      </c>
      <c r="O9" s="11">
        <f>N9/$D$9</f>
        <v/>
      </c>
      <c r="P9" s="10">
        <f>Q9-N9</f>
        <v/>
      </c>
      <c r="Q9" s="10" t="n">
        <v>22</v>
      </c>
      <c r="R9" s="11">
        <f>Q9/$D$9</f>
        <v/>
      </c>
      <c r="S9" s="12">
        <f>T9-Q9</f>
        <v/>
      </c>
      <c r="T9" s="12" t="n">
        <v>22</v>
      </c>
      <c r="U9" s="13">
        <f>T9/$D$9</f>
        <v/>
      </c>
      <c r="V9" s="8" t="inlineStr"/>
    </row>
    <row r="10">
      <c r="A10" s="7" t="n">
        <v>6</v>
      </c>
      <c r="B10" s="8" t="inlineStr">
        <is>
          <t>Suasana Ainsdale 2</t>
        </is>
      </c>
      <c r="C10" s="9" t="n">
        <v>45415</v>
      </c>
      <c r="D10" s="10" t="n">
        <v>49</v>
      </c>
      <c r="E10" s="7" t="inlineStr">
        <is>
          <t>12408-19</t>
        </is>
      </c>
      <c r="F10" s="8" t="inlineStr">
        <is>
          <t>SIME DARBY PROPERTY (AINSDALE) SDN. BHD.</t>
        </is>
      </c>
      <c r="G10" s="10" t="n"/>
      <c r="H10" s="10" t="n">
        <v>24</v>
      </c>
      <c r="I10" s="11">
        <f>H10/$D$10</f>
        <v/>
      </c>
      <c r="J10" s="10">
        <f>K10-H10</f>
        <v/>
      </c>
      <c r="K10" s="10" t="n">
        <v>24</v>
      </c>
      <c r="L10" s="11">
        <f>K10/$D$10</f>
        <v/>
      </c>
      <c r="M10" s="10">
        <f>N10-K10</f>
        <v/>
      </c>
      <c r="N10" s="10" t="n">
        <v>24</v>
      </c>
      <c r="O10" s="11">
        <f>N10/$D$10</f>
        <v/>
      </c>
      <c r="P10" s="10">
        <f>Q10-N10</f>
        <v/>
      </c>
      <c r="Q10" s="10" t="n">
        <v>24</v>
      </c>
      <c r="R10" s="11">
        <f>Q10/$D$10</f>
        <v/>
      </c>
      <c r="S10" s="12">
        <f>T10-Q10</f>
        <v/>
      </c>
      <c r="T10" s="12" t="n">
        <v>24</v>
      </c>
      <c r="U10" s="13">
        <f>T10/$D$10</f>
        <v/>
      </c>
      <c r="V10" s="8" t="inlineStr"/>
    </row>
    <row r="11">
      <c r="A11" s="7" t="n">
        <v>7</v>
      </c>
      <c r="B11" s="8" t="inlineStr">
        <is>
          <t>Arina</t>
        </is>
      </c>
      <c r="C11" s="9" t="n">
        <v>45631</v>
      </c>
      <c r="D11" s="10" t="n">
        <v>118</v>
      </c>
      <c r="E11" s="7" t="inlineStr">
        <is>
          <t>12408-20</t>
        </is>
      </c>
      <c r="F11" s="8" t="inlineStr">
        <is>
          <t>SIME DARBY PROPERTY (AINSDALE) SDN. BHD.</t>
        </is>
      </c>
      <c r="G11" s="10" t="n"/>
      <c r="H11" s="10" t="n">
        <v>116</v>
      </c>
      <c r="I11" s="11">
        <f>H11/$D$11</f>
        <v/>
      </c>
      <c r="J11" s="10">
        <f>K11-H11</f>
        <v/>
      </c>
      <c r="K11" s="10" t="n">
        <v>116</v>
      </c>
      <c r="L11" s="11">
        <f>K11/$D$11</f>
        <v/>
      </c>
      <c r="M11" s="10">
        <f>N11-K11</f>
        <v/>
      </c>
      <c r="N11" s="10" t="n">
        <v>116</v>
      </c>
      <c r="O11" s="11">
        <f>N11/$D$11</f>
        <v/>
      </c>
      <c r="P11" s="10">
        <f>Q11-N11</f>
        <v/>
      </c>
      <c r="Q11" s="10" t="n">
        <v>116</v>
      </c>
      <c r="R11" s="11">
        <f>Q11/$D$11</f>
        <v/>
      </c>
      <c r="S11" s="12">
        <f>T11-Q11</f>
        <v/>
      </c>
      <c r="T11" s="12" t="n">
        <v>116</v>
      </c>
      <c r="U11" s="13">
        <f>T11/$D$11</f>
        <v/>
      </c>
      <c r="V11" s="8" t="inlineStr"/>
    </row>
    <row r="12">
      <c r="A12" s="7" t="n">
        <v>8</v>
      </c>
      <c r="B12" s="8" t="inlineStr">
        <is>
          <t>Arina Phase 2</t>
        </is>
      </c>
      <c r="C12" s="9" t="n">
        <v>45688</v>
      </c>
      <c r="D12" s="10" t="n">
        <v>103</v>
      </c>
      <c r="E12" s="7" t="inlineStr">
        <is>
          <t>12408-21</t>
        </is>
      </c>
      <c r="F12" s="8" t="inlineStr">
        <is>
          <t>SIME DARBY PROPERTY (AINSDALE) SDN. BHD.</t>
        </is>
      </c>
      <c r="G12" s="10" t="n"/>
      <c r="H12" s="10" t="n">
        <v>97</v>
      </c>
      <c r="I12" s="11">
        <f>H12/$D$12</f>
        <v/>
      </c>
      <c r="J12" s="10">
        <f>K12-H12</f>
        <v/>
      </c>
      <c r="K12" s="10" t="n">
        <v>97</v>
      </c>
      <c r="L12" s="11">
        <f>K12/$D$12</f>
        <v/>
      </c>
      <c r="M12" s="10">
        <f>N12-K12</f>
        <v/>
      </c>
      <c r="N12" s="10" t="n">
        <v>97</v>
      </c>
      <c r="O12" s="11">
        <f>N12/$D$12</f>
        <v/>
      </c>
      <c r="P12" s="10">
        <f>Q12-N12</f>
        <v/>
      </c>
      <c r="Q12" s="10" t="n">
        <v>98</v>
      </c>
      <c r="R12" s="11">
        <f>Q12/$D$12</f>
        <v/>
      </c>
      <c r="S12" s="12">
        <f>T12-Q12</f>
        <v/>
      </c>
      <c r="T12" s="12" t="n">
        <v>98</v>
      </c>
      <c r="U12" s="13">
        <f>T12/$D$12</f>
        <v/>
      </c>
      <c r="V12" s="8" t="inlineStr"/>
    </row>
    <row r="13">
      <c r="A13" s="7" t="n">
        <v>9</v>
      </c>
      <c r="B13" s="8" t="inlineStr">
        <is>
          <t>Arina 2</t>
        </is>
      </c>
      <c r="C13" s="9" t="n">
        <v>45960</v>
      </c>
      <c r="D13" s="10" t="n">
        <v>123</v>
      </c>
      <c r="E13" s="7" t="inlineStr">
        <is>
          <t>12408-22</t>
        </is>
      </c>
      <c r="F13" s="8" t="inlineStr">
        <is>
          <t>SIME DARBY PROPERTY (AINSDALE) SDN. BHD.</t>
        </is>
      </c>
      <c r="G13" s="10" t="n"/>
      <c r="H13" s="10" t="n">
        <v>71</v>
      </c>
      <c r="I13" s="11">
        <f>H13/$D$13</f>
        <v/>
      </c>
      <c r="J13" s="10">
        <f>K13-H13</f>
        <v/>
      </c>
      <c r="K13" s="10" t="n">
        <v>73</v>
      </c>
      <c r="L13" s="11">
        <f>K13/$D$13</f>
        <v/>
      </c>
      <c r="M13" s="10">
        <f>N13-K13</f>
        <v/>
      </c>
      <c r="N13" s="10" t="n">
        <v>74</v>
      </c>
      <c r="O13" s="11">
        <f>N13/$D$13</f>
        <v/>
      </c>
      <c r="P13" s="10">
        <f>Q13-N13</f>
        <v/>
      </c>
      <c r="Q13" s="10" t="n">
        <v>74</v>
      </c>
      <c r="R13" s="11">
        <f>Q13/$D$13</f>
        <v/>
      </c>
      <c r="S13" s="12">
        <f>T13-Q13</f>
        <v/>
      </c>
      <c r="T13" s="12" t="n">
        <v>77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Arina 2 Phase 3</t>
        </is>
      </c>
      <c r="C14" s="9" t="n">
        <v>45974</v>
      </c>
      <c r="D14" s="10" t="n">
        <v>114</v>
      </c>
      <c r="E14" s="7" t="inlineStr">
        <is>
          <t>12408-23</t>
        </is>
      </c>
      <c r="F14" s="8" t="inlineStr">
        <is>
          <t>SIME DARBY PROPERTY (AINSDALE) SDN. BHD.</t>
        </is>
      </c>
      <c r="G14" s="10" t="n"/>
      <c r="H14" s="10" t="n">
        <v>0</v>
      </c>
      <c r="I14" s="11">
        <f>H14/$D$14</f>
        <v/>
      </c>
      <c r="J14" s="10">
        <f>K14-H14</f>
        <v/>
      </c>
      <c r="K14" s="10" t="n">
        <v>0</v>
      </c>
      <c r="L14" s="11">
        <f>K14/$D$14</f>
        <v/>
      </c>
      <c r="M14" s="10">
        <f>N14-K14</f>
        <v/>
      </c>
      <c r="N14" s="10" t="n">
        <v>0</v>
      </c>
      <c r="O14" s="11">
        <f>N14/$D$14</f>
        <v/>
      </c>
      <c r="P14" s="10">
        <f>Q14-N14</f>
        <v/>
      </c>
      <c r="Q14" s="10" t="n">
        <v>0</v>
      </c>
      <c r="R14" s="11">
        <f>Q14/$D$14</f>
        <v/>
      </c>
      <c r="S14" s="12">
        <f>T14-Q14</f>
        <v/>
      </c>
      <c r="T14" s="12" t="n">
        <v>0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Arina 2 Phase 2</t>
        </is>
      </c>
      <c r="C15" s="9" t="n">
        <v>46031</v>
      </c>
      <c r="D15" s="10" t="n">
        <v>133</v>
      </c>
      <c r="E15" s="7" t="inlineStr">
        <is>
          <t>12408-24</t>
        </is>
      </c>
      <c r="F15" s="8" t="inlineStr">
        <is>
          <t>SIME DARBY PROPERTY (AINSDALE) SDN. BHD.</t>
        </is>
      </c>
      <c r="G15" s="10" t="n"/>
      <c r="H15" s="10" t="n">
        <v>0</v>
      </c>
      <c r="I15" s="11">
        <f>H15/$D$15</f>
        <v/>
      </c>
      <c r="J15" s="10">
        <f>K15-H15</f>
        <v/>
      </c>
      <c r="K15" s="10" t="n">
        <v>0</v>
      </c>
      <c r="L15" s="11">
        <f>K15/$D$15</f>
        <v/>
      </c>
      <c r="M15" s="10">
        <f>N15-K15</f>
        <v/>
      </c>
      <c r="N15" s="10" t="n">
        <v>0</v>
      </c>
      <c r="O15" s="11">
        <f>N15/$D$15</f>
        <v/>
      </c>
      <c r="P15" s="10">
        <f>Q15-N15</f>
        <v/>
      </c>
      <c r="Q15" s="10" t="n">
        <v>0</v>
      </c>
      <c r="R15" s="11">
        <f>Q15/$D$15</f>
        <v/>
      </c>
      <c r="S15" s="12">
        <f>T15-Q15</f>
        <v/>
      </c>
      <c r="T15" s="12" t="n">
        <v>0</v>
      </c>
      <c r="U15" s="13">
        <f>T15/$D$15</f>
        <v/>
      </c>
      <c r="V15" s="8" t="inlineStr"/>
    </row>
    <row r="16">
      <c r="A16" s="7" t="n">
        <v>12</v>
      </c>
      <c r="B16" s="8" t="inlineStr">
        <is>
          <t>Elmina Ridge 1</t>
        </is>
      </c>
      <c r="C16" s="9" t="n">
        <v>45313</v>
      </c>
      <c r="D16" s="10" t="n">
        <v>102</v>
      </c>
      <c r="E16" s="7" t="inlineStr">
        <is>
          <t>13017-43</t>
        </is>
      </c>
      <c r="F16" s="8" t="inlineStr">
        <is>
          <t>SIME DARBY PROPERTY (CITY OF ELMINA) SDN. BHD.</t>
        </is>
      </c>
      <c r="G16" s="10" t="n"/>
      <c r="H16" s="10" t="n">
        <v>100</v>
      </c>
      <c r="I16" s="11">
        <f>H16/$D$16</f>
        <v/>
      </c>
      <c r="J16" s="10">
        <f>K16-H16</f>
        <v/>
      </c>
      <c r="K16" s="10" t="n">
        <v>100</v>
      </c>
      <c r="L16" s="11">
        <f>K16/$D$16</f>
        <v/>
      </c>
      <c r="M16" s="10">
        <f>N16-K16</f>
        <v/>
      </c>
      <c r="N16" s="10" t="n">
        <v>100</v>
      </c>
      <c r="O16" s="11">
        <f>N16/$D$16</f>
        <v/>
      </c>
      <c r="P16" s="10">
        <f>Q16-N16</f>
        <v/>
      </c>
      <c r="Q16" s="10" t="n">
        <v>100</v>
      </c>
      <c r="R16" s="11">
        <f>Q16/$D$16</f>
        <v/>
      </c>
      <c r="S16" s="12">
        <f>T16-Q16</f>
        <v/>
      </c>
      <c r="T16" s="12" t="n">
        <v>100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Elmina Hijauan 9</t>
        </is>
      </c>
      <c r="C17" s="9" t="n">
        <v>45337</v>
      </c>
      <c r="D17" s="10" t="n">
        <v>93</v>
      </c>
      <c r="E17" s="7" t="inlineStr">
        <is>
          <t>13017-44</t>
        </is>
      </c>
      <c r="F17" s="8" t="inlineStr">
        <is>
          <t>SIME DARBY PROPERTY (CITY OF ELMINA) SDN. BHD.</t>
        </is>
      </c>
      <c r="G17" s="10" t="n"/>
      <c r="H17" s="10" t="n">
        <v>93</v>
      </c>
      <c r="I17" s="11">
        <f>H17/$D$17</f>
        <v/>
      </c>
      <c r="J17" s="10">
        <f>K17-H17</f>
        <v/>
      </c>
      <c r="K17" s="10" t="n">
        <v>93</v>
      </c>
      <c r="L17" s="11">
        <f>K17/$D$17</f>
        <v/>
      </c>
      <c r="M17" s="10">
        <f>N17-K17</f>
        <v/>
      </c>
      <c r="N17" s="10" t="n">
        <v>93</v>
      </c>
      <c r="O17" s="11">
        <f>N17/$D$17</f>
        <v/>
      </c>
      <c r="P17" s="10">
        <f>Q17-N17</f>
        <v/>
      </c>
      <c r="Q17" s="10" t="n">
        <v>93</v>
      </c>
      <c r="R17" s="11">
        <f>Q17/$D$17</f>
        <v/>
      </c>
      <c r="S17" s="12">
        <f>T17-Q17</f>
        <v/>
      </c>
      <c r="T17" s="12" t="n">
        <v>93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Elmina Ridge 1 Phase B</t>
        </is>
      </c>
      <c r="C18" s="9" t="n">
        <v>45337</v>
      </c>
      <c r="D18" s="10" t="n">
        <v>126</v>
      </c>
      <c r="E18" s="7" t="inlineStr">
        <is>
          <t>13017-45</t>
        </is>
      </c>
      <c r="F18" s="8" t="inlineStr">
        <is>
          <t>SIME DARBY PROPERTY (CITY OF ELMINA) SDN. BHD.</t>
        </is>
      </c>
      <c r="G18" s="10" t="n"/>
      <c r="H18" s="10" t="n">
        <v>121</v>
      </c>
      <c r="I18" s="11">
        <f>H18/$D$18</f>
        <v/>
      </c>
      <c r="J18" s="10">
        <f>K18-H18</f>
        <v/>
      </c>
      <c r="K18" s="10" t="n">
        <v>121</v>
      </c>
      <c r="L18" s="11">
        <f>K18/$D$18</f>
        <v/>
      </c>
      <c r="M18" s="10">
        <f>N18-K18</f>
        <v/>
      </c>
      <c r="N18" s="10" t="n">
        <v>121</v>
      </c>
      <c r="O18" s="11">
        <f>N18/$D$18</f>
        <v/>
      </c>
      <c r="P18" s="10">
        <f>Q18-N18</f>
        <v/>
      </c>
      <c r="Q18" s="10" t="n">
        <v>121</v>
      </c>
      <c r="R18" s="11">
        <f>Q18/$D$18</f>
        <v/>
      </c>
      <c r="S18" s="12">
        <f>T18-Q18</f>
        <v/>
      </c>
      <c r="T18" s="12" t="n">
        <v>121</v>
      </c>
      <c r="U18" s="13">
        <f>T18/$D$18</f>
        <v/>
      </c>
      <c r="V18" s="8" t="inlineStr"/>
    </row>
    <row r="19">
      <c r="A19" s="7" t="n">
        <v>15</v>
      </c>
      <c r="B19" s="8" t="inlineStr">
        <is>
          <t>Elmina Hijauan 9</t>
        </is>
      </c>
      <c r="C19" s="9" t="n">
        <v>45357</v>
      </c>
      <c r="D19" s="10" t="n">
        <v>99</v>
      </c>
      <c r="E19" s="7" t="inlineStr">
        <is>
          <t>13017-46</t>
        </is>
      </c>
      <c r="F19" s="8" t="inlineStr">
        <is>
          <t>SIME DARBY PROPERTY (CITY OF ELMINA) SDN. BHD.</t>
        </is>
      </c>
      <c r="G19" s="10" t="n"/>
      <c r="H19" s="10" t="n">
        <v>99</v>
      </c>
      <c r="I19" s="11">
        <f>H19/$D$19</f>
        <v/>
      </c>
      <c r="J19" s="10">
        <f>K19-H19</f>
        <v/>
      </c>
      <c r="K19" s="10" t="n">
        <v>99</v>
      </c>
      <c r="L19" s="11">
        <f>K19/$D$19</f>
        <v/>
      </c>
      <c r="M19" s="10">
        <f>N19-K19</f>
        <v/>
      </c>
      <c r="N19" s="10" t="n">
        <v>99</v>
      </c>
      <c r="O19" s="11">
        <f>N19/$D$19</f>
        <v/>
      </c>
      <c r="P19" s="10">
        <f>Q19-N19</f>
        <v/>
      </c>
      <c r="Q19" s="10" t="n">
        <v>99</v>
      </c>
      <c r="R19" s="11">
        <f>Q19/$D$19</f>
        <v/>
      </c>
      <c r="S19" s="12">
        <f>T19-Q19</f>
        <v/>
      </c>
      <c r="T19" s="12" t="n">
        <v>99</v>
      </c>
      <c r="U19" s="13">
        <f>T19/$D$19</f>
        <v/>
      </c>
      <c r="V19" s="8" t="inlineStr"/>
    </row>
    <row r="20">
      <c r="A20" s="7" t="n">
        <v>16</v>
      </c>
      <c r="B20" s="8" t="inlineStr">
        <is>
          <t>Kanopi Residences</t>
        </is>
      </c>
      <c r="C20" s="9" t="n">
        <v>45470</v>
      </c>
      <c r="D20" s="10" t="n">
        <v>499</v>
      </c>
      <c r="E20" s="7" t="inlineStr">
        <is>
          <t>13017-47</t>
        </is>
      </c>
      <c r="F20" s="8" t="inlineStr">
        <is>
          <t>SIME DARBY PROPERTY (CITY OF ELMINA) SDN. BHD.</t>
        </is>
      </c>
      <c r="G20" s="10" t="n"/>
      <c r="H20" s="10" t="n">
        <v>411</v>
      </c>
      <c r="I20" s="11">
        <f>H20/$D$20</f>
        <v/>
      </c>
      <c r="J20" s="10">
        <f>K20-H20</f>
        <v/>
      </c>
      <c r="K20" s="10" t="n">
        <v>413</v>
      </c>
      <c r="L20" s="11">
        <f>K20/$D$20</f>
        <v/>
      </c>
      <c r="M20" s="10">
        <f>N20-K20</f>
        <v/>
      </c>
      <c r="N20" s="10" t="n">
        <v>413</v>
      </c>
      <c r="O20" s="11">
        <f>N20/$D$20</f>
        <v/>
      </c>
      <c r="P20" s="10">
        <f>Q20-N20</f>
        <v/>
      </c>
      <c r="Q20" s="10" t="n">
        <v>413</v>
      </c>
      <c r="R20" s="11">
        <f>Q20/$D$20</f>
        <v/>
      </c>
      <c r="S20" s="12">
        <f>T20-Q20</f>
        <v/>
      </c>
      <c r="T20" s="12" t="n">
        <v>414</v>
      </c>
      <c r="U20" s="13">
        <f>T20/$D$20</f>
        <v/>
      </c>
      <c r="V20" s="8" t="inlineStr">
        <is>
          <t>Latest sales - Block EW: 414 units</t>
        </is>
      </c>
    </row>
    <row r="21">
      <c r="A21" s="7" t="n">
        <v>17</v>
      </c>
      <c r="B21" s="8" t="inlineStr">
        <is>
          <t>Elmina Ridge 2</t>
        </is>
      </c>
      <c r="C21" s="9" t="n">
        <v>45723</v>
      </c>
      <c r="D21" s="10" t="n">
        <v>145</v>
      </c>
      <c r="E21" s="7" t="inlineStr">
        <is>
          <t>13017-48</t>
        </is>
      </c>
      <c r="F21" s="8" t="inlineStr">
        <is>
          <t>SIME DARBY PROPERTY (CITY OF ELMINA) SDN. BHD.</t>
        </is>
      </c>
      <c r="G21" s="10" t="n"/>
      <c r="H21" s="10" t="n">
        <v>134</v>
      </c>
      <c r="I21" s="11">
        <f>H21/$D$21</f>
        <v/>
      </c>
      <c r="J21" s="10">
        <f>K21-H21</f>
        <v/>
      </c>
      <c r="K21" s="10" t="n">
        <v>135</v>
      </c>
      <c r="L21" s="11">
        <f>K21/$D$21</f>
        <v/>
      </c>
      <c r="M21" s="10">
        <f>N21-K21</f>
        <v/>
      </c>
      <c r="N21" s="10" t="n">
        <v>135</v>
      </c>
      <c r="O21" s="11">
        <f>N21/$D$21</f>
        <v/>
      </c>
      <c r="P21" s="10">
        <f>Q21-N21</f>
        <v/>
      </c>
      <c r="Q21" s="10" t="n">
        <v>135</v>
      </c>
      <c r="R21" s="11">
        <f>Q21/$D$21</f>
        <v/>
      </c>
      <c r="S21" s="12">
        <f>T21-Q21</f>
        <v/>
      </c>
      <c r="T21" s="12" t="n">
        <v>136</v>
      </c>
      <c r="U21" s="13">
        <f>T21/$D$21</f>
        <v/>
      </c>
      <c r="V21" s="8" t="inlineStr"/>
    </row>
    <row r="22">
      <c r="A22" s="7" t="n">
        <v>18</v>
      </c>
      <c r="B22" s="8" t="inlineStr">
        <is>
          <t>Elmina Ridge 2 Phase ER2B</t>
        </is>
      </c>
      <c r="C22" s="9" t="n">
        <v>45757</v>
      </c>
      <c r="D22" s="10" t="n">
        <v>76</v>
      </c>
      <c r="E22" s="7" t="inlineStr">
        <is>
          <t>13017-49</t>
        </is>
      </c>
      <c r="F22" s="8" t="inlineStr">
        <is>
          <t>SIME DARBY PROPERTY (CITY OF ELMINA) SDN. BHD.</t>
        </is>
      </c>
      <c r="G22" s="10" t="n"/>
      <c r="H22" s="10" t="n">
        <v>71</v>
      </c>
      <c r="I22" s="11">
        <f>H22/$D$22</f>
        <v/>
      </c>
      <c r="J22" s="10">
        <f>K22-H22</f>
        <v/>
      </c>
      <c r="K22" s="10" t="n">
        <v>71</v>
      </c>
      <c r="L22" s="11">
        <f>K22/$D$22</f>
        <v/>
      </c>
      <c r="M22" s="10">
        <f>N22-K22</f>
        <v/>
      </c>
      <c r="N22" s="10" t="n">
        <v>71</v>
      </c>
      <c r="O22" s="11">
        <f>N22/$D$22</f>
        <v/>
      </c>
      <c r="P22" s="10">
        <f>Q22-N22</f>
        <v/>
      </c>
      <c r="Q22" s="10" t="n">
        <v>72</v>
      </c>
      <c r="R22" s="11">
        <f>Q22/$D$22</f>
        <v/>
      </c>
      <c r="S22" s="12">
        <f>T22-Q22</f>
        <v/>
      </c>
      <c r="T22" s="12" t="n">
        <v>72</v>
      </c>
      <c r="U22" s="13">
        <f>T22/$D$22</f>
        <v/>
      </c>
      <c r="V22" s="8" t="inlineStr"/>
    </row>
    <row r="23">
      <c r="A23" s="7" t="n">
        <v>19</v>
      </c>
      <c r="B23" s="8" t="inlineStr">
        <is>
          <t>Elmina Hijauan 8-2</t>
        </is>
      </c>
      <c r="C23" s="9" t="n">
        <v>45918</v>
      </c>
      <c r="D23" s="10" t="n">
        <v>136</v>
      </c>
      <c r="E23" s="7" t="inlineStr">
        <is>
          <t>13017-50</t>
        </is>
      </c>
      <c r="F23" s="8" t="inlineStr">
        <is>
          <t>SIME DARBY PROPERTY (CITY OF ELMINA) SDN. BHD.</t>
        </is>
      </c>
      <c r="G23" s="10" t="n"/>
      <c r="H23" s="10" t="n">
        <v>59</v>
      </c>
      <c r="I23" s="11">
        <f>H23/$D$23</f>
        <v/>
      </c>
      <c r="J23" s="10">
        <f>K23-H23</f>
        <v/>
      </c>
      <c r="K23" s="10" t="n">
        <v>59</v>
      </c>
      <c r="L23" s="11">
        <f>K23/$D$23</f>
        <v/>
      </c>
      <c r="M23" s="10">
        <f>N23-K23</f>
        <v/>
      </c>
      <c r="N23" s="10" t="n">
        <v>61</v>
      </c>
      <c r="O23" s="11">
        <f>N23/$D$23</f>
        <v/>
      </c>
      <c r="P23" s="10">
        <f>Q23-N23</f>
        <v/>
      </c>
      <c r="Q23" s="10" t="n">
        <v>60</v>
      </c>
      <c r="R23" s="11">
        <f>Q23/$D$23</f>
        <v/>
      </c>
      <c r="S23" s="12">
        <f>T23-Q23</f>
        <v/>
      </c>
      <c r="T23" s="12" t="n">
        <v>61</v>
      </c>
      <c r="U23" s="13">
        <f>T23/$D$23</f>
        <v/>
      </c>
      <c r="V23" s="8" t="inlineStr"/>
    </row>
    <row r="24">
      <c r="A24" s="7" t="n">
        <v>20</v>
      </c>
      <c r="B24" s="8" t="inlineStr">
        <is>
          <t>Elmina Hijauan 8-2</t>
        </is>
      </c>
      <c r="C24" s="9" t="n">
        <v>45939</v>
      </c>
      <c r="D24" s="10" t="n">
        <v>70</v>
      </c>
      <c r="E24" s="7" t="inlineStr">
        <is>
          <t>13017-51</t>
        </is>
      </c>
      <c r="F24" s="8" t="inlineStr">
        <is>
          <t>SIME DARBY PROPERTY (CITY OF ELMINA) SDN. BHD.</t>
        </is>
      </c>
      <c r="G24" s="10" t="n"/>
      <c r="H24" s="10" t="n">
        <v>19</v>
      </c>
      <c r="I24" s="11">
        <f>H24/$D$24</f>
        <v/>
      </c>
      <c r="J24" s="10">
        <f>K24-H24</f>
        <v/>
      </c>
      <c r="K24" s="10" t="n">
        <v>22</v>
      </c>
      <c r="L24" s="11">
        <f>K24/$D$24</f>
        <v/>
      </c>
      <c r="M24" s="10">
        <f>N24-K24</f>
        <v/>
      </c>
      <c r="N24" s="10" t="n">
        <v>26</v>
      </c>
      <c r="O24" s="11">
        <f>N24/$D$24</f>
        <v/>
      </c>
      <c r="P24" s="10">
        <f>Q24-N24</f>
        <v/>
      </c>
      <c r="Q24" s="10" t="n">
        <v>28</v>
      </c>
      <c r="R24" s="11">
        <f>Q24/$D$24</f>
        <v/>
      </c>
      <c r="S24" s="12">
        <f>T24-Q24</f>
        <v/>
      </c>
      <c r="T24" s="12" t="n">
        <v>29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Harmoni Permai 2</t>
        </is>
      </c>
      <c r="C25" s="9" t="n">
        <v>45427</v>
      </c>
      <c r="D25" s="10" t="n">
        <v>56</v>
      </c>
      <c r="E25" s="7" t="inlineStr">
        <is>
          <t>14358-4</t>
        </is>
      </c>
      <c r="F25" s="8" t="inlineStr">
        <is>
          <t>SIME DARBY PROPERTY (PAGOH) SDN. BHD.</t>
        </is>
      </c>
      <c r="G25" s="10" t="n"/>
      <c r="H25" s="10" t="n">
        <v>0</v>
      </c>
      <c r="I25" s="11">
        <f>H25/$D$25</f>
        <v/>
      </c>
      <c r="J25" s="10">
        <f>K25-H25</f>
        <v/>
      </c>
      <c r="K25" s="10" t="n">
        <v>0</v>
      </c>
      <c r="L25" s="11">
        <f>K25/$D$25</f>
        <v/>
      </c>
      <c r="M25" s="10">
        <f>N25-K25</f>
        <v/>
      </c>
      <c r="N25" s="10" t="n">
        <v>0</v>
      </c>
      <c r="O25" s="11">
        <f>N25/$D$25</f>
        <v/>
      </c>
      <c r="P25" s="10">
        <f>Q25-N25</f>
        <v/>
      </c>
      <c r="Q25" s="10" t="n">
        <v>0</v>
      </c>
      <c r="R25" s="11">
        <f>Q25/$D$25</f>
        <v/>
      </c>
      <c r="S25" s="12">
        <f>T25-Q25</f>
        <v/>
      </c>
      <c r="T25" s="12" t="n">
        <v>0</v>
      </c>
      <c r="U25" s="13">
        <f>T25/$D$25</f>
        <v/>
      </c>
      <c r="V25" s="8" t="inlineStr"/>
    </row>
    <row r="26">
      <c r="A26" s="7" t="n">
        <v>22</v>
      </c>
      <c r="B26" s="8" t="inlineStr">
        <is>
          <t>Jendela Residences</t>
        </is>
      </c>
      <c r="C26" s="9" t="n">
        <v>44258</v>
      </c>
      <c r="D26" s="10" t="n">
        <v>520</v>
      </c>
      <c r="E26" s="7" t="inlineStr">
        <is>
          <t>20060-1</t>
        </is>
      </c>
      <c r="F26" s="8" t="inlineStr">
        <is>
          <t>SIME DARBY PROPERTY (KLGCC RESORT) SDN. BHD.</t>
        </is>
      </c>
      <c r="G26" s="10" t="n"/>
      <c r="H26" s="10" t="n">
        <v>508</v>
      </c>
      <c r="I26" s="11">
        <f>H26/$D$26</f>
        <v/>
      </c>
      <c r="J26" s="10">
        <f>K26-H26</f>
        <v/>
      </c>
      <c r="K26" s="10" t="n">
        <v>508</v>
      </c>
      <c r="L26" s="11">
        <f>K26/$D$26</f>
        <v/>
      </c>
      <c r="M26" s="10">
        <f>N26-K26</f>
        <v/>
      </c>
      <c r="N26" s="10" t="n">
        <v>508</v>
      </c>
      <c r="O26" s="11">
        <f>N26/$D$26</f>
        <v/>
      </c>
      <c r="P26" s="10">
        <f>Q26-N26</f>
        <v/>
      </c>
      <c r="Q26" s="10" t="n">
        <v>508</v>
      </c>
      <c r="R26" s="11">
        <f>Q26/$D$26</f>
        <v/>
      </c>
      <c r="S26" s="12">
        <f>T26-Q26</f>
        <v/>
      </c>
      <c r="T26" s="12" t="n">
        <v>508</v>
      </c>
      <c r="U26" s="13">
        <f>T26/$D$26</f>
        <v/>
      </c>
      <c r="V26" s="8" t="inlineStr">
        <is>
          <t>Latest sales - Block A: 256 units, Block B: 252 units</t>
        </is>
      </c>
    </row>
    <row r="27">
      <c r="A27" s="7" t="n">
        <v>23</v>
      </c>
      <c r="B27" s="8" t="inlineStr">
        <is>
          <t>Tiara Residences</t>
        </is>
      </c>
      <c r="C27" s="9" t="n">
        <v>46134</v>
      </c>
      <c r="D27" s="10" t="n">
        <v>59</v>
      </c>
      <c r="E27" s="7" t="inlineStr">
        <is>
          <t>20171-2</t>
        </is>
      </c>
      <c r="F27" s="8" t="inlineStr">
        <is>
          <t>SIME DARBY PROPERTY (BUKIT JELUTONG)  SDN. BHD.</t>
        </is>
      </c>
      <c r="G27" s="10" t="n"/>
      <c r="H27" s="10" t="n">
        <v>22</v>
      </c>
      <c r="I27" s="11">
        <f>H27/$D$27</f>
        <v/>
      </c>
      <c r="J27" s="10">
        <f>K27-H27</f>
        <v/>
      </c>
      <c r="K27" s="10" t="n">
        <v>22</v>
      </c>
      <c r="L27" s="11">
        <f>K27/$D$27</f>
        <v/>
      </c>
      <c r="M27" s="10">
        <f>N27-K27</f>
        <v/>
      </c>
      <c r="N27" s="10" t="n">
        <v>22</v>
      </c>
      <c r="O27" s="11">
        <f>N27/$D$27</f>
        <v/>
      </c>
      <c r="P27" s="10">
        <f>Q27-N27</f>
        <v/>
      </c>
      <c r="Q27" s="10" t="n">
        <v>23</v>
      </c>
      <c r="R27" s="11">
        <f>Q27/$D$27</f>
        <v/>
      </c>
      <c r="S27" s="12">
        <f>T27-Q27</f>
        <v/>
      </c>
      <c r="T27" s="12" t="n">
        <v>27</v>
      </c>
      <c r="U27" s="13">
        <f>T27/$D$27</f>
        <v/>
      </c>
      <c r="V27" s="8" t="inlineStr"/>
    </row>
    <row r="28">
      <c r="A28" s="7" t="n">
        <v>24</v>
      </c>
      <c r="B28" s="8" t="inlineStr">
        <is>
          <t>Tiara Residences 2</t>
        </is>
      </c>
      <c r="C28" s="9" t="n">
        <v>46274</v>
      </c>
      <c r="D28" s="10" t="n">
        <v>112</v>
      </c>
      <c r="E28" s="7" t="inlineStr">
        <is>
          <t>20171-3</t>
        </is>
      </c>
      <c r="F28" s="8" t="inlineStr">
        <is>
          <t>SIME DARBY PROPERTY (BUKIT JELUTONG)  SDN. BHD.</t>
        </is>
      </c>
      <c r="G28" s="10" t="n"/>
      <c r="H28" s="10" t="n">
        <v>0</v>
      </c>
      <c r="I28" s="11">
        <f>H28/$D$28</f>
        <v/>
      </c>
      <c r="J28" s="10">
        <f>K28-H28</f>
        <v/>
      </c>
      <c r="K28" s="10" t="n">
        <v>0</v>
      </c>
      <c r="L28" s="11">
        <f>K28/$D$28</f>
        <v/>
      </c>
      <c r="M28" s="10">
        <f>N28-K28</f>
        <v/>
      </c>
      <c r="N28" s="10" t="n">
        <v>0</v>
      </c>
      <c r="O28" s="11">
        <f>N28/$D$28</f>
        <v/>
      </c>
      <c r="P28" s="10">
        <f>Q28-N28</f>
        <v/>
      </c>
      <c r="Q28" s="10" t="n">
        <v>0</v>
      </c>
      <c r="R28" s="11">
        <f>Q28/$D$28</f>
        <v/>
      </c>
      <c r="S28" s="12">
        <f>T28-Q28</f>
        <v/>
      </c>
      <c r="T28" s="12" t="n">
        <v>0</v>
      </c>
      <c r="U28" s="13">
        <f>T28/$D$28</f>
        <v/>
      </c>
      <c r="V28" s="8" t="inlineStr"/>
    </row>
    <row r="29">
      <c r="A29" s="7" t="n">
        <v>25</v>
      </c>
      <c r="B29" s="8" t="inlineStr">
        <is>
          <t>The Ophera</t>
        </is>
      </c>
      <c r="C29" s="9" t="n">
        <v>45218</v>
      </c>
      <c r="D29" s="10" t="n">
        <v>150</v>
      </c>
      <c r="E29" s="7" t="inlineStr">
        <is>
          <t>30500-1</t>
        </is>
      </c>
      <c r="F29" s="8" t="inlineStr">
        <is>
          <t>SIME DARBY PROPERTY (GOLFHOME) SDN. BHD.</t>
        </is>
      </c>
      <c r="G29" s="10" t="n"/>
      <c r="H29" s="10" t="n">
        <v>134</v>
      </c>
      <c r="I29" s="11">
        <f>H29/$D$29</f>
        <v/>
      </c>
      <c r="J29" s="10">
        <f>K29-H29</f>
        <v/>
      </c>
      <c r="K29" s="10" t="n">
        <v>134</v>
      </c>
      <c r="L29" s="11">
        <f>K29/$D$29</f>
        <v/>
      </c>
      <c r="M29" s="10">
        <f>N29-K29</f>
        <v/>
      </c>
      <c r="N29" s="10" t="n">
        <v>135</v>
      </c>
      <c r="O29" s="11">
        <f>N29/$D$29</f>
        <v/>
      </c>
      <c r="P29" s="10">
        <f>Q29-N29</f>
        <v/>
      </c>
      <c r="Q29" s="10" t="n">
        <v>135</v>
      </c>
      <c r="R29" s="11">
        <f>Q29/$D$29</f>
        <v/>
      </c>
      <c r="S29" s="12">
        <f>T29-Q29</f>
        <v/>
      </c>
      <c r="T29" s="12" t="n">
        <v>135</v>
      </c>
      <c r="U29" s="13">
        <f>T29/$D$29</f>
        <v/>
      </c>
      <c r="V29" s="8" t="inlineStr">
        <is>
          <t>Latest sales - Block 1A: 12 units, Block 1B: 8 units, Block 2A: 7 units, Block 2B: 5 units, Block 3A: 2 units, Block 3B: 3 units, Block A1: 15 units, Block A2: 19 units, Block B1: 13 units, Block B2: 15 units, Block C1: 19 units, Block C2: 17 units</t>
        </is>
      </c>
    </row>
    <row r="30">
      <c r="A30" s="7" t="n">
        <v>26</v>
      </c>
      <c r="B30" s="8" t="inlineStr">
        <is>
          <t>Hype Residences (tentative)</t>
        </is>
      </c>
      <c r="C30" s="9" t="n">
        <v>45218</v>
      </c>
      <c r="D30" s="10" t="n">
        <v>961</v>
      </c>
      <c r="E30" s="7" t="inlineStr">
        <is>
          <t>3780-6</t>
        </is>
      </c>
      <c r="F30" s="8" t="inlineStr">
        <is>
          <t>SIME DARBY PROPERTY (SJ7) SDN. BHD.</t>
        </is>
      </c>
      <c r="G30" s="10" t="n"/>
      <c r="H30" s="10" t="n">
        <v>956</v>
      </c>
      <c r="I30" s="11">
        <f>H30/$D$30</f>
        <v/>
      </c>
      <c r="J30" s="10">
        <f>K30-H30</f>
        <v/>
      </c>
      <c r="K30" s="10" t="n">
        <v>956</v>
      </c>
      <c r="L30" s="11">
        <f>K30/$D$30</f>
        <v/>
      </c>
      <c r="M30" s="10">
        <f>N30-K30</f>
        <v/>
      </c>
      <c r="N30" s="10" t="n">
        <v>956</v>
      </c>
      <c r="O30" s="11">
        <f>N30/$D$30</f>
        <v/>
      </c>
      <c r="P30" s="10">
        <f>Q30-N30</f>
        <v/>
      </c>
      <c r="Q30" s="10" t="n">
        <v>956</v>
      </c>
      <c r="R30" s="11">
        <f>Q30/$D$30</f>
        <v/>
      </c>
      <c r="S30" s="12">
        <f>T30-Q30</f>
        <v/>
      </c>
      <c r="T30" s="12" t="n">
        <v>956</v>
      </c>
      <c r="U30" s="13">
        <f>T30/$D$30</f>
        <v/>
      </c>
      <c r="V30" s="8" t="inlineStr">
        <is>
          <t>Latest sales - Block A: 200 units, Block B: 224 units, Block C: 258 units, Block D: 274 units</t>
        </is>
      </c>
    </row>
    <row r="31">
      <c r="A31" s="7" t="n">
        <v>27</v>
      </c>
      <c r="B31" s="8" t="inlineStr">
        <is>
          <t>Hype Residences (tentative)</t>
        </is>
      </c>
      <c r="C31" s="9" t="n">
        <v>46206</v>
      </c>
      <c r="D31" s="10" t="n">
        <v>998</v>
      </c>
      <c r="E31" s="7" t="inlineStr">
        <is>
          <t>3780-7</t>
        </is>
      </c>
      <c r="F31" s="8" t="inlineStr">
        <is>
          <t>SIME DARBY PROPERTY (SJ7) SDN. BHD.</t>
        </is>
      </c>
      <c r="G31" s="10" t="n"/>
      <c r="H31" s="10" t="n">
        <v>0</v>
      </c>
      <c r="I31" s="11">
        <f>H31/$D$31</f>
        <v/>
      </c>
      <c r="J31" s="10">
        <f>K31-H31</f>
        <v/>
      </c>
      <c r="K31" s="10" t="n">
        <v>0</v>
      </c>
      <c r="L31" s="11">
        <f>K31/$D$31</f>
        <v/>
      </c>
      <c r="M31" s="10">
        <f>N31-K31</f>
        <v/>
      </c>
      <c r="N31" s="10" t="n">
        <v>1</v>
      </c>
      <c r="O31" s="11">
        <f>N31/$D$31</f>
        <v/>
      </c>
      <c r="P31" s="10">
        <f>Q31-N31</f>
        <v/>
      </c>
      <c r="Q31" s="10" t="n">
        <v>2</v>
      </c>
      <c r="R31" s="11">
        <f>Q31/$D$31</f>
        <v/>
      </c>
      <c r="S31" s="12">
        <f>T31-Q31</f>
        <v/>
      </c>
      <c r="T31" s="12" t="n">
        <v>23</v>
      </c>
      <c r="U31" s="13">
        <f>T31/$D$31</f>
        <v/>
      </c>
      <c r="V31" s="8" t="inlineStr">
        <is>
          <t>Latest sales - Block A: 22 units, Block B: 1 units</t>
        </is>
      </c>
    </row>
    <row r="32">
      <c r="A32" s="7" t="n">
        <v>28</v>
      </c>
      <c r="B32" s="8" t="inlineStr">
        <is>
          <t>The Glades</t>
        </is>
      </c>
      <c r="C32" s="9" t="n">
        <v>44817</v>
      </c>
      <c r="D32" s="10" t="n">
        <v>122</v>
      </c>
      <c r="E32" s="7" t="inlineStr">
        <is>
          <t>3927-154</t>
        </is>
      </c>
      <c r="F32" s="8" t="inlineStr">
        <is>
          <t>SIME DARBY PROPERTY (BUKIT RAJA) SDN. BHD.</t>
        </is>
      </c>
      <c r="G32" s="10" t="n"/>
      <c r="H32" s="10" t="n">
        <v>122</v>
      </c>
      <c r="I32" s="11">
        <f>H32/$D$32</f>
        <v/>
      </c>
      <c r="J32" s="10">
        <f>K32-H32</f>
        <v/>
      </c>
      <c r="K32" s="10" t="n">
        <v>122</v>
      </c>
      <c r="L32" s="11">
        <f>K32/$D$32</f>
        <v/>
      </c>
      <c r="M32" s="10">
        <f>N32-K32</f>
        <v/>
      </c>
      <c r="N32" s="10" t="n">
        <v>122</v>
      </c>
      <c r="O32" s="11">
        <f>N32/$D$32</f>
        <v/>
      </c>
      <c r="P32" s="10">
        <f>Q32-N32</f>
        <v/>
      </c>
      <c r="Q32" s="10" t="n">
        <v>122</v>
      </c>
      <c r="R32" s="11">
        <f>Q32/$D$32</f>
        <v/>
      </c>
      <c r="S32" s="12">
        <f>T32-Q32</f>
        <v/>
      </c>
      <c r="T32" s="12" t="n">
        <v>122</v>
      </c>
      <c r="U32" s="13">
        <f>T32/$D$32</f>
        <v/>
      </c>
      <c r="V32" s="8" t="inlineStr">
        <is>
          <t>Latest sales - Block A: 16 units, Block B: 30 units, Block C: 32 units, Block D: 32 units, Block E: 12 units</t>
        </is>
      </c>
    </row>
    <row r="33">
      <c r="A33" s="7" t="n">
        <v>29</v>
      </c>
      <c r="B33" s="8" t="inlineStr">
        <is>
          <t>Serasi Residences</t>
        </is>
      </c>
      <c r="C33" s="9" t="n">
        <v>44917</v>
      </c>
      <c r="D33" s="10" t="n">
        <v>1428</v>
      </c>
      <c r="E33" s="7" t="inlineStr">
        <is>
          <t>3927-155</t>
        </is>
      </c>
      <c r="F33" s="8" t="inlineStr">
        <is>
          <t>SIME DARBY PROPERTY (BUKIT RAJA) SDN. BHD.</t>
        </is>
      </c>
      <c r="G33" s="10" t="n"/>
      <c r="H33" s="10" t="n">
        <v>1420</v>
      </c>
      <c r="I33" s="11">
        <f>H33/$D$33</f>
        <v/>
      </c>
      <c r="J33" s="10">
        <f>K33-H33</f>
        <v/>
      </c>
      <c r="K33" s="10" t="n">
        <v>1420</v>
      </c>
      <c r="L33" s="11">
        <f>K33/$D$33</f>
        <v/>
      </c>
      <c r="M33" s="10">
        <f>N33-K33</f>
        <v/>
      </c>
      <c r="N33" s="10" t="n">
        <v>1420</v>
      </c>
      <c r="O33" s="11">
        <f>N33/$D$33</f>
        <v/>
      </c>
      <c r="P33" s="10">
        <f>Q33-N33</f>
        <v/>
      </c>
      <c r="Q33" s="10" t="n">
        <v>1421</v>
      </c>
      <c r="R33" s="11">
        <f>Q33/$D$33</f>
        <v/>
      </c>
      <c r="S33" s="12">
        <f>T33-Q33</f>
        <v/>
      </c>
      <c r="T33" s="12" t="n">
        <v>1422</v>
      </c>
      <c r="U33" s="13">
        <f>T33/$D$33</f>
        <v/>
      </c>
      <c r="V33" s="8" t="inlineStr">
        <is>
          <t>Latest sales - Block HT6T1A(I)/1: 506 units, Block HT6T1A(I)/2: 417 units, Block HT6T1A(II)/3: 499 units</t>
        </is>
      </c>
    </row>
    <row r="34">
      <c r="A34" s="7" t="n">
        <v>30</v>
      </c>
      <c r="B34" s="8" t="inlineStr">
        <is>
          <t>Damayan Residences</t>
        </is>
      </c>
      <c r="C34" s="9" t="n">
        <v>45350</v>
      </c>
      <c r="D34" s="10" t="n">
        <v>308</v>
      </c>
      <c r="E34" s="7" t="inlineStr">
        <is>
          <t>3927-160</t>
        </is>
      </c>
      <c r="F34" s="8" t="inlineStr">
        <is>
          <t>SIME DARBY PROPERTY (BUKIT RAJA) SDN. BHD.</t>
        </is>
      </c>
      <c r="G34" s="10" t="n"/>
      <c r="H34" s="10" t="n">
        <v>167</v>
      </c>
      <c r="I34" s="11">
        <f>H34/$D$34</f>
        <v/>
      </c>
      <c r="J34" s="10">
        <f>K34-H34</f>
        <v/>
      </c>
      <c r="K34" s="10" t="n">
        <v>168</v>
      </c>
      <c r="L34" s="11">
        <f>K34/$D$34</f>
        <v/>
      </c>
      <c r="M34" s="10">
        <f>N34-K34</f>
        <v/>
      </c>
      <c r="N34" s="10" t="n">
        <v>170</v>
      </c>
      <c r="O34" s="11">
        <f>N34/$D$34</f>
        <v/>
      </c>
      <c r="P34" s="10">
        <f>Q34-N34</f>
        <v/>
      </c>
      <c r="Q34" s="10" t="n">
        <v>172</v>
      </c>
      <c r="R34" s="11">
        <f>Q34/$D$34</f>
        <v/>
      </c>
      <c r="S34" s="12">
        <f>T34-Q34</f>
        <v/>
      </c>
      <c r="T34" s="12" t="n">
        <v>174</v>
      </c>
      <c r="U34" s="13">
        <f>T34/$D$34</f>
        <v/>
      </c>
      <c r="V34" s="8" t="inlineStr"/>
    </row>
    <row r="35">
      <c r="A35" s="7" t="n">
        <v>31</v>
      </c>
      <c r="B35" s="8" t="inlineStr">
        <is>
          <t>Adira</t>
        </is>
      </c>
      <c r="C35" s="9" t="n">
        <v>45427</v>
      </c>
      <c r="D35" s="10" t="n">
        <v>138</v>
      </c>
      <c r="E35" s="7" t="inlineStr">
        <is>
          <t>3927-161</t>
        </is>
      </c>
      <c r="F35" s="8" t="inlineStr">
        <is>
          <t>SIME DARBY PROPERTY (BUKIT RAJA) SDN. BHD.</t>
        </is>
      </c>
      <c r="G35" s="10" t="n"/>
      <c r="H35" s="10" t="n">
        <v>60</v>
      </c>
      <c r="I35" s="11">
        <f>H35/$D$35</f>
        <v/>
      </c>
      <c r="J35" s="10">
        <f>K35-H35</f>
        <v/>
      </c>
      <c r="K35" s="10" t="n">
        <v>60</v>
      </c>
      <c r="L35" s="11">
        <f>K35/$D$35</f>
        <v/>
      </c>
      <c r="M35" s="10">
        <f>N35-K35</f>
        <v/>
      </c>
      <c r="N35" s="10" t="n">
        <v>61</v>
      </c>
      <c r="O35" s="11">
        <f>N35/$D$35</f>
        <v/>
      </c>
      <c r="P35" s="10">
        <f>Q35-N35</f>
        <v/>
      </c>
      <c r="Q35" s="10" t="n">
        <v>61</v>
      </c>
      <c r="R35" s="11">
        <f>Q35/$D$35</f>
        <v/>
      </c>
      <c r="S35" s="12">
        <f>T35-Q35</f>
        <v/>
      </c>
      <c r="T35" s="12" t="n">
        <v>62</v>
      </c>
      <c r="U35" s="13">
        <f>T35/$D$35</f>
        <v/>
      </c>
      <c r="V35" s="8" t="inlineStr"/>
    </row>
    <row r="36">
      <c r="A36" s="7" t="n">
        <v>32</v>
      </c>
      <c r="B36" s="8" t="inlineStr">
        <is>
          <t>Adira</t>
        </is>
      </c>
      <c r="C36" s="9" t="n">
        <v>45427</v>
      </c>
      <c r="D36" s="10" t="n">
        <v>82</v>
      </c>
      <c r="E36" s="7" t="inlineStr">
        <is>
          <t>3927-162</t>
        </is>
      </c>
      <c r="F36" s="8" t="inlineStr">
        <is>
          <t>SIME DARBY PROPERTY (BUKIT RAJA) SDN. BHD.</t>
        </is>
      </c>
      <c r="G36" s="10" t="n"/>
      <c r="H36" s="10" t="n">
        <v>24</v>
      </c>
      <c r="I36" s="11">
        <f>H36/$D$36</f>
        <v/>
      </c>
      <c r="J36" s="10">
        <f>K36-H36</f>
        <v/>
      </c>
      <c r="K36" s="10" t="n">
        <v>27</v>
      </c>
      <c r="L36" s="11">
        <f>K36/$D$36</f>
        <v/>
      </c>
      <c r="M36" s="10">
        <f>N36-K36</f>
        <v/>
      </c>
      <c r="N36" s="10" t="n">
        <v>29</v>
      </c>
      <c r="O36" s="11">
        <f>N36/$D$36</f>
        <v/>
      </c>
      <c r="P36" s="10">
        <f>Q36-N36</f>
        <v/>
      </c>
      <c r="Q36" s="10" t="n">
        <v>29</v>
      </c>
      <c r="R36" s="11">
        <f>Q36/$D$36</f>
        <v/>
      </c>
      <c r="S36" s="12">
        <f>T36-Q36</f>
        <v/>
      </c>
      <c r="T36" s="12" t="n">
        <v>30</v>
      </c>
      <c r="U36" s="13">
        <f>T36/$D$36</f>
        <v/>
      </c>
      <c r="V36" s="8" t="inlineStr"/>
    </row>
    <row r="37">
      <c r="A37" s="7" t="n">
        <v>33</v>
      </c>
      <c r="B37" s="8" t="inlineStr">
        <is>
          <t>Adira</t>
        </is>
      </c>
      <c r="C37" s="9" t="n">
        <v>45427</v>
      </c>
      <c r="D37" s="10" t="n">
        <v>109</v>
      </c>
      <c r="E37" s="7" t="inlineStr">
        <is>
          <t>3927-163</t>
        </is>
      </c>
      <c r="F37" s="8" t="inlineStr">
        <is>
          <t>SIME DARBY PROPERTY (BUKIT RAJA) SDN. BHD.</t>
        </is>
      </c>
      <c r="G37" s="10" t="n"/>
      <c r="H37" s="10" t="n">
        <v>104</v>
      </c>
      <c r="I37" s="11">
        <f>H37/$D$37</f>
        <v/>
      </c>
      <c r="J37" s="10">
        <f>K37-H37</f>
        <v/>
      </c>
      <c r="K37" s="10" t="n">
        <v>104</v>
      </c>
      <c r="L37" s="11">
        <f>K37/$D$37</f>
        <v/>
      </c>
      <c r="M37" s="10">
        <f>N37-K37</f>
        <v/>
      </c>
      <c r="N37" s="10" t="n">
        <v>104</v>
      </c>
      <c r="O37" s="11">
        <f>N37/$D$37</f>
        <v/>
      </c>
      <c r="P37" s="10">
        <f>Q37-N37</f>
        <v/>
      </c>
      <c r="Q37" s="10" t="n">
        <v>104</v>
      </c>
      <c r="R37" s="11">
        <f>Q37/$D$37</f>
        <v/>
      </c>
      <c r="S37" s="12">
        <f>T37-Q37</f>
        <v/>
      </c>
      <c r="T37" s="12" t="n">
        <v>104</v>
      </c>
      <c r="U37" s="13">
        <f>T37/$D$37</f>
        <v/>
      </c>
      <c r="V37" s="8" t="inlineStr"/>
    </row>
    <row r="38">
      <c r="A38" s="7" t="n">
        <v>34</v>
      </c>
      <c r="B38" s="8" t="inlineStr">
        <is>
          <t>Lanai Lakeside</t>
        </is>
      </c>
      <c r="C38" s="9" t="n">
        <v>45624</v>
      </c>
      <c r="D38" s="10" t="n">
        <v>72</v>
      </c>
      <c r="E38" s="7" t="inlineStr">
        <is>
          <t>3927-164</t>
        </is>
      </c>
      <c r="F38" s="8" t="inlineStr">
        <is>
          <t>SIME DARBY PROPERTY (BUKIT RAJA) SDN. BHD.</t>
        </is>
      </c>
      <c r="G38" s="10" t="n"/>
      <c r="H38" s="10" t="n">
        <v>44</v>
      </c>
      <c r="I38" s="11">
        <f>H38/$D$38</f>
        <v/>
      </c>
      <c r="J38" s="10">
        <f>K38-H38</f>
        <v/>
      </c>
      <c r="K38" s="10" t="n">
        <v>44</v>
      </c>
      <c r="L38" s="11">
        <f>K38/$D$38</f>
        <v/>
      </c>
      <c r="M38" s="10">
        <f>N38-K38</f>
        <v/>
      </c>
      <c r="N38" s="10" t="n">
        <v>44</v>
      </c>
      <c r="O38" s="11">
        <f>N38/$D$38</f>
        <v/>
      </c>
      <c r="P38" s="10">
        <f>Q38-N38</f>
        <v/>
      </c>
      <c r="Q38" s="10" t="n">
        <v>44</v>
      </c>
      <c r="R38" s="11">
        <f>Q38/$D$38</f>
        <v/>
      </c>
      <c r="S38" s="12">
        <f>T38-Q38</f>
        <v/>
      </c>
      <c r="T38" s="12" t="n">
        <v>44</v>
      </c>
      <c r="U38" s="13">
        <f>T38/$D$38</f>
        <v/>
      </c>
      <c r="V38" s="8" t="inlineStr"/>
    </row>
    <row r="39">
      <c r="A39" s="7" t="n">
        <v>35</v>
      </c>
      <c r="B39" s="8" t="inlineStr">
        <is>
          <t>The Straits</t>
        </is>
      </c>
      <c r="C39" s="9" t="n">
        <v>45946</v>
      </c>
      <c r="D39" s="10" t="n">
        <v>146</v>
      </c>
      <c r="E39" s="7" t="inlineStr">
        <is>
          <t>3927-165</t>
        </is>
      </c>
      <c r="F39" s="8" t="inlineStr">
        <is>
          <t>SIME DARBY PROPERTY (BUKIT RAJA) SDN. BHD.</t>
        </is>
      </c>
      <c r="G39" s="10" t="n"/>
      <c r="H39" s="10" t="n">
        <v>29</v>
      </c>
      <c r="I39" s="11">
        <f>H39/$D$39</f>
        <v/>
      </c>
      <c r="J39" s="10">
        <f>K39-H39</f>
        <v/>
      </c>
      <c r="K39" s="10" t="n">
        <v>29</v>
      </c>
      <c r="L39" s="11">
        <f>K39/$D$39</f>
        <v/>
      </c>
      <c r="M39" s="10">
        <f>N39-K39</f>
        <v/>
      </c>
      <c r="N39" s="10" t="n">
        <v>29</v>
      </c>
      <c r="O39" s="11">
        <f>N39/$D$39</f>
        <v/>
      </c>
      <c r="P39" s="10">
        <f>Q39-N39</f>
        <v/>
      </c>
      <c r="Q39" s="10" t="n">
        <v>29</v>
      </c>
      <c r="R39" s="11">
        <f>Q39/$D$39</f>
        <v/>
      </c>
      <c r="S39" s="12">
        <f>T39-Q39</f>
        <v/>
      </c>
      <c r="T39" s="12" t="n">
        <v>30</v>
      </c>
      <c r="U39" s="13">
        <f>T39/$D$39</f>
        <v/>
      </c>
      <c r="V39" s="8" t="inlineStr"/>
    </row>
    <row r="40">
      <c r="A40" s="7" t="n">
        <v>36</v>
      </c>
      <c r="B40" s="8" t="inlineStr">
        <is>
          <t>The Glades</t>
        </is>
      </c>
      <c r="C40" s="9" t="n">
        <v>45951</v>
      </c>
      <c r="D40" s="10" t="n">
        <v>25</v>
      </c>
      <c r="E40" s="7" t="inlineStr">
        <is>
          <t>3927-166</t>
        </is>
      </c>
      <c r="F40" s="8" t="inlineStr">
        <is>
          <t>SIME DARBY PROPERTY (BUKIT RAJA) SDN. BHD.</t>
        </is>
      </c>
      <c r="G40" s="10" t="n"/>
      <c r="H40" s="10" t="n">
        <v>24</v>
      </c>
      <c r="I40" s="11">
        <f>H40/$D$40</f>
        <v/>
      </c>
      <c r="J40" s="10">
        <f>K40-H40</f>
        <v/>
      </c>
      <c r="K40" s="10" t="n">
        <v>24</v>
      </c>
      <c r="L40" s="11">
        <f>K40/$D$40</f>
        <v/>
      </c>
      <c r="M40" s="10">
        <f>N40-K40</f>
        <v/>
      </c>
      <c r="N40" s="10" t="n">
        <v>24</v>
      </c>
      <c r="O40" s="11">
        <f>N40/$D$40</f>
        <v/>
      </c>
      <c r="P40" s="10">
        <f>Q40-N40</f>
        <v/>
      </c>
      <c r="Q40" s="10" t="n">
        <v>24</v>
      </c>
      <c r="R40" s="11">
        <f>Q40/$D$40</f>
        <v/>
      </c>
      <c r="S40" s="12">
        <f>T40-Q40</f>
        <v/>
      </c>
      <c r="T40" s="12" t="n">
        <v>24</v>
      </c>
      <c r="U40" s="13">
        <f>T40/$D$40</f>
        <v/>
      </c>
      <c r="V40" s="8" t="inlineStr"/>
    </row>
    <row r="41">
      <c r="A41" s="7" t="n">
        <v>37</v>
      </c>
      <c r="B41" s="8" t="inlineStr">
        <is>
          <t>The Straits</t>
        </is>
      </c>
      <c r="C41" s="9" t="n">
        <v>45952</v>
      </c>
      <c r="D41" s="10" t="n">
        <v>142</v>
      </c>
      <c r="E41" s="7" t="inlineStr">
        <is>
          <t>3927-167</t>
        </is>
      </c>
      <c r="F41" s="8" t="inlineStr">
        <is>
          <t>SIME DARBY PROPERTY (BUKIT RAJA) SDN. BHD.</t>
        </is>
      </c>
      <c r="G41" s="10" t="n"/>
      <c r="H41" s="10" t="n">
        <v>106</v>
      </c>
      <c r="I41" s="11">
        <f>H41/$D$41</f>
        <v/>
      </c>
      <c r="J41" s="10">
        <f>K41-H41</f>
        <v/>
      </c>
      <c r="K41" s="10" t="n">
        <v>106</v>
      </c>
      <c r="L41" s="11">
        <f>K41/$D$41</f>
        <v/>
      </c>
      <c r="M41" s="10">
        <f>N41-K41</f>
        <v/>
      </c>
      <c r="N41" s="10" t="n">
        <v>107</v>
      </c>
      <c r="O41" s="11">
        <f>N41/$D$41</f>
        <v/>
      </c>
      <c r="P41" s="10">
        <f>Q41-N41</f>
        <v/>
      </c>
      <c r="Q41" s="10" t="n">
        <v>108</v>
      </c>
      <c r="R41" s="11">
        <f>Q41/$D$41</f>
        <v/>
      </c>
      <c r="S41" s="12">
        <f>T41-Q41</f>
        <v/>
      </c>
      <c r="T41" s="12" t="n">
        <v>108</v>
      </c>
      <c r="U41" s="13">
        <f>T41/$D$41</f>
        <v/>
      </c>
      <c r="V41" s="8" t="inlineStr"/>
    </row>
    <row r="42">
      <c r="A42" s="7" t="n">
        <v>38</v>
      </c>
      <c r="B42" s="8" t="inlineStr">
        <is>
          <t>Park One</t>
        </is>
      </c>
      <c r="C42" s="9" t="n">
        <v>44841</v>
      </c>
      <c r="D42" s="10" t="n">
        <v>234</v>
      </c>
      <c r="E42" s="7" t="inlineStr">
        <is>
          <t>597-13</t>
        </is>
      </c>
      <c r="F42" s="8" t="inlineStr">
        <is>
          <t>SIME DARBY PROPERTY (KL EAST) SDN. BHD.</t>
        </is>
      </c>
      <c r="G42" s="10" t="n"/>
      <c r="H42" s="10" t="n">
        <v>228</v>
      </c>
      <c r="I42" s="11">
        <f>H42/$D$42</f>
        <v/>
      </c>
      <c r="J42" s="10">
        <f>K42-H42</f>
        <v/>
      </c>
      <c r="K42" s="10" t="n">
        <v>228</v>
      </c>
      <c r="L42" s="11">
        <f>K42/$D$42</f>
        <v/>
      </c>
      <c r="M42" s="10">
        <f>N42-K42</f>
        <v/>
      </c>
      <c r="N42" s="10" t="n">
        <v>228</v>
      </c>
      <c r="O42" s="11">
        <f>N42/$D$42</f>
        <v/>
      </c>
      <c r="P42" s="10">
        <f>Q42-N42</f>
        <v/>
      </c>
      <c r="Q42" s="10" t="n">
        <v>228</v>
      </c>
      <c r="R42" s="11">
        <f>Q42/$D$42</f>
        <v/>
      </c>
      <c r="S42" s="12">
        <f>T42-Q42</f>
        <v/>
      </c>
      <c r="T42" s="12" t="n">
        <v>228</v>
      </c>
      <c r="U42" s="13">
        <f>T42/$D$42</f>
        <v/>
      </c>
      <c r="V42" s="8" t="inlineStr"/>
    </row>
    <row r="43">
      <c r="A43" s="7" t="n">
        <v>39</v>
      </c>
      <c r="B43" s="8" t="inlineStr">
        <is>
          <t>Emilia Lakeside 1</t>
        </is>
      </c>
      <c r="C43" s="9" t="n">
        <v>45586</v>
      </c>
      <c r="D43" s="10" t="n">
        <v>100</v>
      </c>
      <c r="E43" s="7" t="inlineStr">
        <is>
          <t>6755-11</t>
        </is>
      </c>
      <c r="F43" s="8" t="inlineStr">
        <is>
          <t>SIME DARBY PROPERTY (NILAI) SDN. BHD.</t>
        </is>
      </c>
      <c r="G43" s="10" t="n"/>
      <c r="H43" s="10" t="n">
        <v>84</v>
      </c>
      <c r="I43" s="11">
        <f>H43/$D$43</f>
        <v/>
      </c>
      <c r="J43" s="10">
        <f>K43-H43</f>
        <v/>
      </c>
      <c r="K43" s="10" t="n">
        <v>84</v>
      </c>
      <c r="L43" s="11">
        <f>K43/$D$43</f>
        <v/>
      </c>
      <c r="M43" s="10">
        <f>N43-K43</f>
        <v/>
      </c>
      <c r="N43" s="10" t="n">
        <v>84</v>
      </c>
      <c r="O43" s="11">
        <f>N43/$D$43</f>
        <v/>
      </c>
      <c r="P43" s="10">
        <f>Q43-N43</f>
        <v/>
      </c>
      <c r="Q43" s="10" t="n">
        <v>85</v>
      </c>
      <c r="R43" s="11">
        <f>Q43/$D$43</f>
        <v/>
      </c>
      <c r="S43" s="12">
        <f>T43-Q43</f>
        <v/>
      </c>
      <c r="T43" s="12" t="n">
        <v>85</v>
      </c>
      <c r="U43" s="13">
        <f>T43/$D$43</f>
        <v/>
      </c>
      <c r="V43" s="8" t="inlineStr"/>
    </row>
    <row r="44">
      <c r="A44" s="7" t="n">
        <v>40</v>
      </c>
      <c r="B44" s="8" t="inlineStr">
        <is>
          <t>Emilia Lakeside 3</t>
        </is>
      </c>
      <c r="C44" s="9" t="n">
        <v>45694</v>
      </c>
      <c r="D44" s="10" t="n">
        <v>45</v>
      </c>
      <c r="E44" s="7" t="inlineStr">
        <is>
          <t>6755-12</t>
        </is>
      </c>
      <c r="F44" s="8" t="inlineStr">
        <is>
          <t>SIME DARBY PROPERTY (NILAI) SDN. BHD.</t>
        </is>
      </c>
      <c r="G44" s="10" t="n"/>
      <c r="H44" s="10" t="n">
        <v>34</v>
      </c>
      <c r="I44" s="11">
        <f>H44/$D$44</f>
        <v/>
      </c>
      <c r="J44" s="10">
        <f>K44-H44</f>
        <v/>
      </c>
      <c r="K44" s="10" t="n">
        <v>34</v>
      </c>
      <c r="L44" s="11">
        <f>K44/$D$44</f>
        <v/>
      </c>
      <c r="M44" s="10">
        <f>N44-K44</f>
        <v/>
      </c>
      <c r="N44" s="10" t="n">
        <v>35</v>
      </c>
      <c r="O44" s="11">
        <f>N44/$D$44</f>
        <v/>
      </c>
      <c r="P44" s="10">
        <f>Q44-N44</f>
        <v/>
      </c>
      <c r="Q44" s="10" t="n">
        <v>35</v>
      </c>
      <c r="R44" s="11">
        <f>Q44/$D$44</f>
        <v/>
      </c>
      <c r="S44" s="12">
        <f>T44-Q44</f>
        <v/>
      </c>
      <c r="T44" s="12" t="n">
        <v>35</v>
      </c>
      <c r="U44" s="13">
        <f>T44/$D$44</f>
        <v/>
      </c>
      <c r="V44" s="8" t="inlineStr"/>
    </row>
    <row r="45">
      <c r="A45" s="7" t="n">
        <v>41</v>
      </c>
      <c r="B45" s="8" t="inlineStr">
        <is>
          <t>Emilia Lakeside 2</t>
        </is>
      </c>
      <c r="C45" s="9" t="n">
        <v>45743</v>
      </c>
      <c r="D45" s="10" t="n">
        <v>65</v>
      </c>
      <c r="E45" s="7" t="inlineStr">
        <is>
          <t>6755-13</t>
        </is>
      </c>
      <c r="F45" s="8" t="inlineStr">
        <is>
          <t>SIME DARBY PROPERTY (NILAI) SDN. BHD.</t>
        </is>
      </c>
      <c r="G45" s="10" t="n"/>
      <c r="H45" s="10" t="n">
        <v>50</v>
      </c>
      <c r="I45" s="11">
        <f>H45/$D$45</f>
        <v/>
      </c>
      <c r="J45" s="10">
        <f>K45-H45</f>
        <v/>
      </c>
      <c r="K45" s="10" t="n">
        <v>51</v>
      </c>
      <c r="L45" s="11">
        <f>K45/$D$45</f>
        <v/>
      </c>
      <c r="M45" s="10">
        <f>N45-K45</f>
        <v/>
      </c>
      <c r="N45" s="10" t="n">
        <v>51</v>
      </c>
      <c r="O45" s="11">
        <f>N45/$D$45</f>
        <v/>
      </c>
      <c r="P45" s="10">
        <f>Q45-N45</f>
        <v/>
      </c>
      <c r="Q45" s="10" t="n">
        <v>51</v>
      </c>
      <c r="R45" s="11">
        <f>Q45/$D$45</f>
        <v/>
      </c>
      <c r="S45" s="12">
        <f>T45-Q45</f>
        <v/>
      </c>
      <c r="T45" s="12" t="n">
        <v>51</v>
      </c>
      <c r="U45" s="13">
        <f>T45/$D$45</f>
        <v/>
      </c>
      <c r="V45" s="8" t="inlineStr"/>
    </row>
    <row r="46">
      <c r="A46" s="7" t="n">
        <v>42</v>
      </c>
      <c r="B46" s="8" t="inlineStr">
        <is>
          <t>Serenia Amalia 5</t>
        </is>
      </c>
      <c r="C46" s="9" t="n">
        <v>45191</v>
      </c>
      <c r="D46" s="10" t="n">
        <v>68</v>
      </c>
      <c r="E46" s="7" t="inlineStr">
        <is>
          <t>6785-27</t>
        </is>
      </c>
      <c r="F46" s="8" t="inlineStr">
        <is>
          <t>SIME DARBY PROPERTY (SERENIA CITY) SDN. BHD.</t>
        </is>
      </c>
      <c r="G46" s="10" t="n"/>
      <c r="H46" s="10" t="n">
        <v>55</v>
      </c>
      <c r="I46" s="11">
        <f>H46/$D$46</f>
        <v/>
      </c>
      <c r="J46" s="10">
        <f>K46-H46</f>
        <v/>
      </c>
      <c r="K46" s="10" t="n">
        <v>55</v>
      </c>
      <c r="L46" s="11">
        <f>K46/$D$46</f>
        <v/>
      </c>
      <c r="M46" s="10">
        <f>N46-K46</f>
        <v/>
      </c>
      <c r="N46" s="10" t="n">
        <v>55</v>
      </c>
      <c r="O46" s="11">
        <f>N46/$D$46</f>
        <v/>
      </c>
      <c r="P46" s="10">
        <f>Q46-N46</f>
        <v/>
      </c>
      <c r="Q46" s="10" t="n">
        <v>55</v>
      </c>
      <c r="R46" s="11">
        <f>Q46/$D$46</f>
        <v/>
      </c>
      <c r="S46" s="12">
        <f>T46-Q46</f>
        <v/>
      </c>
      <c r="T46" s="12" t="n">
        <v>55</v>
      </c>
      <c r="U46" s="13">
        <f>T46/$D$46</f>
        <v/>
      </c>
      <c r="V46" s="8" t="inlineStr"/>
    </row>
    <row r="47">
      <c r="A47" s="7" t="n">
        <v>43</v>
      </c>
      <c r="B47" s="8" t="inlineStr">
        <is>
          <t>Serenia Amalia 7</t>
        </is>
      </c>
      <c r="C47" s="9" t="n">
        <v>45595</v>
      </c>
      <c r="D47" s="10" t="n">
        <v>40</v>
      </c>
      <c r="E47" s="7" t="inlineStr">
        <is>
          <t>6785-28</t>
        </is>
      </c>
      <c r="F47" s="8" t="inlineStr">
        <is>
          <t>SIME DARBY PROPERTY (SERENIA CITY) SDN. BHD.</t>
        </is>
      </c>
      <c r="G47" s="10" t="n"/>
      <c r="H47" s="10" t="n">
        <v>32</v>
      </c>
      <c r="I47" s="11">
        <f>H47/$D$47</f>
        <v/>
      </c>
      <c r="J47" s="10">
        <f>K47-H47</f>
        <v/>
      </c>
      <c r="K47" s="10" t="n">
        <v>32</v>
      </c>
      <c r="L47" s="11">
        <f>K47/$D$47</f>
        <v/>
      </c>
      <c r="M47" s="10">
        <f>N47-K47</f>
        <v/>
      </c>
      <c r="N47" s="10" t="n">
        <v>32</v>
      </c>
      <c r="O47" s="11">
        <f>N47/$D$47</f>
        <v/>
      </c>
      <c r="P47" s="10">
        <f>Q47-N47</f>
        <v/>
      </c>
      <c r="Q47" s="10" t="n">
        <v>32</v>
      </c>
      <c r="R47" s="11">
        <f>Q47/$D$47</f>
        <v/>
      </c>
      <c r="S47" s="12">
        <f>T47-Q47</f>
        <v/>
      </c>
      <c r="T47" s="12" t="n">
        <v>32</v>
      </c>
      <c r="U47" s="13">
        <f>T47/$D$47</f>
        <v/>
      </c>
      <c r="V47" s="8" t="inlineStr"/>
    </row>
    <row r="48">
      <c r="A48" s="7" t="n">
        <v>44</v>
      </c>
      <c r="B48" s="8" t="inlineStr">
        <is>
          <t>Serenia Amalia 6</t>
        </is>
      </c>
      <c r="C48" s="9" t="n">
        <v>45790</v>
      </c>
      <c r="D48" s="10" t="n">
        <v>84</v>
      </c>
      <c r="E48" s="7" t="inlineStr">
        <is>
          <t>6785-29</t>
        </is>
      </c>
      <c r="F48" s="8" t="inlineStr">
        <is>
          <t>SIME DARBY PROPERTY (SERENIA CITY) SDN. BHD.</t>
        </is>
      </c>
      <c r="G48" s="10" t="n"/>
      <c r="H48" s="10" t="n">
        <v>0</v>
      </c>
      <c r="I48" s="11">
        <f>H48/$D$48</f>
        <v/>
      </c>
      <c r="J48" s="10">
        <f>K48-H48</f>
        <v/>
      </c>
      <c r="K48" s="10" t="n">
        <v>0</v>
      </c>
      <c r="L48" s="11">
        <f>K48/$D$48</f>
        <v/>
      </c>
      <c r="M48" s="10">
        <f>N48-K48</f>
        <v/>
      </c>
      <c r="N48" s="10" t="n">
        <v>0</v>
      </c>
      <c r="O48" s="11">
        <f>N48/$D$48</f>
        <v/>
      </c>
      <c r="P48" s="10">
        <f>Q48-N48</f>
        <v/>
      </c>
      <c r="Q48" s="10" t="n">
        <v>0</v>
      </c>
      <c r="R48" s="11">
        <f>Q48/$D$48</f>
        <v/>
      </c>
      <c r="S48" s="12">
        <f>T48-Q48</f>
        <v/>
      </c>
      <c r="T48" s="12" t="n">
        <v>0</v>
      </c>
      <c r="U48" s="13">
        <f>T48/$D$48</f>
        <v/>
      </c>
      <c r="V48" s="8" t="inlineStr"/>
    </row>
    <row r="49">
      <c r="A49" s="7" t="n">
        <v>45</v>
      </c>
      <c r="B49" s="8" t="inlineStr">
        <is>
          <t>Serenia Baleria 1</t>
        </is>
      </c>
      <c r="C49" s="9" t="n">
        <v>45798</v>
      </c>
      <c r="D49" s="10" t="n">
        <v>211</v>
      </c>
      <c r="E49" s="7" t="inlineStr">
        <is>
          <t>6785-30</t>
        </is>
      </c>
      <c r="F49" s="8" t="inlineStr">
        <is>
          <t>SIME DARBY PROPERTY (SERENIA CITY) SDN. BHD.</t>
        </is>
      </c>
      <c r="G49" s="10" t="n"/>
      <c r="H49" s="10" t="n">
        <v>160</v>
      </c>
      <c r="I49" s="11">
        <f>H49/$D$49</f>
        <v/>
      </c>
      <c r="J49" s="10">
        <f>K49-H49</f>
        <v/>
      </c>
      <c r="K49" s="10" t="n">
        <v>161</v>
      </c>
      <c r="L49" s="11">
        <f>K49/$D$49</f>
        <v/>
      </c>
      <c r="M49" s="10">
        <f>N49-K49</f>
        <v/>
      </c>
      <c r="N49" s="10" t="n">
        <v>164</v>
      </c>
      <c r="O49" s="11">
        <f>N49/$D$49</f>
        <v/>
      </c>
      <c r="P49" s="10">
        <f>Q49-N49</f>
        <v/>
      </c>
      <c r="Q49" s="10" t="n">
        <v>164</v>
      </c>
      <c r="R49" s="11">
        <f>Q49/$D$49</f>
        <v/>
      </c>
      <c r="S49" s="12">
        <f>T49-Q49</f>
        <v/>
      </c>
      <c r="T49" s="12" t="n">
        <v>164</v>
      </c>
      <c r="U49" s="13">
        <f>T49/$D$49</f>
        <v/>
      </c>
      <c r="V49" s="8" t="inlineStr"/>
    </row>
    <row r="50">
      <c r="A50" s="7" t="n">
        <v>46</v>
      </c>
      <c r="B50" s="8" t="inlineStr">
        <is>
          <t>Serenia Baleria 2</t>
        </is>
      </c>
      <c r="C50" s="9" t="n">
        <v>45820</v>
      </c>
      <c r="D50" s="10" t="n">
        <v>174</v>
      </c>
      <c r="E50" s="7" t="inlineStr">
        <is>
          <t>6785-31</t>
        </is>
      </c>
      <c r="F50" s="8" t="inlineStr">
        <is>
          <t>SIME DARBY PROPERTY (SERENIA CITY) SDN. BHD.</t>
        </is>
      </c>
      <c r="G50" s="10" t="n"/>
      <c r="H50" s="10" t="n">
        <v>27</v>
      </c>
      <c r="I50" s="11">
        <f>H50/$D$50</f>
        <v/>
      </c>
      <c r="J50" s="10">
        <f>K50-H50</f>
        <v/>
      </c>
      <c r="K50" s="10" t="n">
        <v>28</v>
      </c>
      <c r="L50" s="11">
        <f>K50/$D$50</f>
        <v/>
      </c>
      <c r="M50" s="10">
        <f>N50-K50</f>
        <v/>
      </c>
      <c r="N50" s="10" t="n">
        <v>30</v>
      </c>
      <c r="O50" s="11">
        <f>N50/$D$50</f>
        <v/>
      </c>
      <c r="P50" s="10">
        <f>Q50-N50</f>
        <v/>
      </c>
      <c r="Q50" s="10" t="n">
        <v>31</v>
      </c>
      <c r="R50" s="11">
        <f>Q50/$D$50</f>
        <v/>
      </c>
      <c r="S50" s="12">
        <f>T50-Q50</f>
        <v/>
      </c>
      <c r="T50" s="12" t="n">
        <v>32</v>
      </c>
      <c r="U50" s="13">
        <f>T50/$D$50</f>
        <v/>
      </c>
      <c r="V50" s="8" t="inlineStr"/>
    </row>
    <row r="51">
      <c r="A51" s="7" t="n">
        <v>47</v>
      </c>
      <c r="B51" s="8" t="inlineStr">
        <is>
          <t>Triara Residences</t>
        </is>
      </c>
      <c r="C51" s="9" t="n">
        <v>45114</v>
      </c>
      <c r="D51" s="10" t="n">
        <v>450</v>
      </c>
      <c r="E51" s="7" t="inlineStr">
        <is>
          <t>7277-27</t>
        </is>
      </c>
      <c r="F51" s="8" t="inlineStr">
        <is>
          <t>SIME DARBY PROPERTY (ARA DAMANSARA)  SDN. BHD.</t>
        </is>
      </c>
      <c r="G51" s="10" t="n"/>
      <c r="H51" s="10" t="n">
        <v>436</v>
      </c>
      <c r="I51" s="11">
        <f>H51/$D$51</f>
        <v/>
      </c>
      <c r="J51" s="10">
        <f>K51-H51</f>
        <v/>
      </c>
      <c r="K51" s="10" t="n">
        <v>436</v>
      </c>
      <c r="L51" s="11">
        <f>K51/$D$51</f>
        <v/>
      </c>
      <c r="M51" s="10">
        <f>N51-K51</f>
        <v/>
      </c>
      <c r="N51" s="10" t="n">
        <v>436</v>
      </c>
      <c r="O51" s="11">
        <f>N51/$D$51</f>
        <v/>
      </c>
      <c r="P51" s="10">
        <f>Q51-N51</f>
        <v/>
      </c>
      <c r="Q51" s="10" t="n">
        <v>436</v>
      </c>
      <c r="R51" s="11">
        <f>Q51/$D$51</f>
        <v/>
      </c>
      <c r="S51" s="12">
        <f>T51-Q51</f>
        <v/>
      </c>
      <c r="T51" s="12" t="n">
        <v>436</v>
      </c>
      <c r="U51" s="13">
        <f>T51/$D$51</f>
        <v/>
      </c>
      <c r="V51" s="8" t="inlineStr">
        <is>
          <t>Latest sales - Block A: 146 units, Block B: 158 units, Block C: 132 units</t>
        </is>
      </c>
    </row>
    <row r="52">
      <c r="A52" s="7" t="n">
        <v>48</v>
      </c>
      <c r="B52" s="8" t="inlineStr">
        <is>
          <t>Andara</t>
        </is>
      </c>
      <c r="C52" s="9" t="n">
        <v>45722</v>
      </c>
      <c r="D52" s="10" t="n">
        <v>20</v>
      </c>
      <c r="E52" s="7" t="inlineStr">
        <is>
          <t>7277-28</t>
        </is>
      </c>
      <c r="F52" s="8" t="inlineStr">
        <is>
          <t>SIME DARBY PROPERTY (ARA DAMANSARA)  SDN. BHD.</t>
        </is>
      </c>
      <c r="G52" s="10" t="n"/>
      <c r="H52" s="10" t="n">
        <v>18</v>
      </c>
      <c r="I52" s="11">
        <f>H52/$D$52</f>
        <v/>
      </c>
      <c r="J52" s="10">
        <f>K52-H52</f>
        <v/>
      </c>
      <c r="K52" s="10" t="n">
        <v>19</v>
      </c>
      <c r="L52" s="11">
        <f>K52/$D$52</f>
        <v/>
      </c>
      <c r="M52" s="10">
        <f>N52-K52</f>
        <v/>
      </c>
      <c r="N52" s="10" t="n">
        <v>19</v>
      </c>
      <c r="O52" s="11">
        <f>N52/$D$52</f>
        <v/>
      </c>
      <c r="P52" s="10">
        <f>Q52-N52</f>
        <v/>
      </c>
      <c r="Q52" s="10" t="n">
        <v>19</v>
      </c>
      <c r="R52" s="11">
        <f>Q52/$D$52</f>
        <v/>
      </c>
      <c r="S52" s="12">
        <f>T52-Q52</f>
        <v/>
      </c>
      <c r="T52" s="12" t="n">
        <v>19</v>
      </c>
      <c r="U52" s="13">
        <f>T52/$D$52</f>
        <v/>
      </c>
      <c r="V52" s="8" t="inlineStr"/>
    </row>
    <row r="53">
      <c r="A53" s="7" t="n">
        <v>49</v>
      </c>
      <c r="B53" s="8" t="inlineStr">
        <is>
          <t>Nadira 3</t>
        </is>
      </c>
      <c r="C53" s="9" t="n">
        <v>45000</v>
      </c>
      <c r="D53" s="10" t="n">
        <v>139</v>
      </c>
      <c r="E53" s="7" t="inlineStr">
        <is>
          <t>3927-156</t>
        </is>
      </c>
      <c r="F53" s="8" t="inlineStr">
        <is>
          <t>SIME DARBY PROPERTY (BUKIT RAJA) SDN. BHD.</t>
        </is>
      </c>
      <c r="G53" s="10" t="n"/>
      <c r="H53" s="10" t="n">
        <v>128</v>
      </c>
      <c r="I53" s="11">
        <f>H53/$D$53</f>
        <v/>
      </c>
      <c r="J53" s="10">
        <f>K53-H53</f>
        <v/>
      </c>
      <c r="K53" s="10" t="n">
        <v>128</v>
      </c>
      <c r="L53" s="11">
        <f>K53/$D$53</f>
        <v/>
      </c>
      <c r="M53" s="10">
        <f>N53-K53</f>
        <v/>
      </c>
      <c r="N53" s="10" t="n">
        <v>128</v>
      </c>
      <c r="O53" s="11">
        <f>N53/$D$53</f>
        <v/>
      </c>
      <c r="P53" s="10">
        <f>Q53-N53</f>
        <v/>
      </c>
      <c r="Q53" s="10" t="n">
        <v>128</v>
      </c>
      <c r="R53" s="11">
        <f>Q53/$D$53</f>
        <v/>
      </c>
      <c r="S53" s="12">
        <f>T53-Q53</f>
        <v/>
      </c>
      <c r="T53" s="12" t="n">
        <v>128</v>
      </c>
      <c r="U53" s="13">
        <f>T53/$D$53</f>
        <v/>
      </c>
      <c r="V53" s="8" t="inlineStr"/>
    </row>
    <row r="54">
      <c r="A54" s="7" t="n">
        <v>50</v>
      </c>
      <c r="B54" s="8" t="inlineStr">
        <is>
          <t>Casira 3</t>
        </is>
      </c>
      <c r="C54" s="9" t="n">
        <v>45029</v>
      </c>
      <c r="D54" s="10" t="n">
        <v>346</v>
      </c>
      <c r="E54" s="7" t="inlineStr">
        <is>
          <t>3927-157,3927-158,3927-159</t>
        </is>
      </c>
      <c r="F54" s="8" t="inlineStr">
        <is>
          <t>SIME DARBY PROPERTY (BUKIT RAJA) SDN. BHD.</t>
        </is>
      </c>
      <c r="G54" s="10" t="n"/>
      <c r="H54" s="10" t="n">
        <v>300</v>
      </c>
      <c r="I54" s="11">
        <f>H54/$D$54</f>
        <v/>
      </c>
      <c r="J54" s="10">
        <f>K54-H54</f>
        <v/>
      </c>
      <c r="K54" s="10" t="n">
        <v>300</v>
      </c>
      <c r="L54" s="11">
        <f>K54/$D$54</f>
        <v/>
      </c>
      <c r="M54" s="10">
        <f>N54-K54</f>
        <v/>
      </c>
      <c r="N54" s="10" t="n">
        <v>300</v>
      </c>
      <c r="O54" s="11">
        <f>N54/$D$54</f>
        <v/>
      </c>
      <c r="P54" s="10">
        <f>Q54-N54</f>
        <v/>
      </c>
      <c r="Q54" s="10" t="n">
        <v>300</v>
      </c>
      <c r="R54" s="11">
        <f>Q54/$D$54</f>
        <v/>
      </c>
      <c r="S54" s="12">
        <f>T54-Q54</f>
        <v/>
      </c>
      <c r="T54" s="12" t="n">
        <v>300</v>
      </c>
      <c r="U54" s="13">
        <f>T54/$D$54</f>
        <v/>
      </c>
      <c r="V54" s="8" t="inlineStr"/>
    </row>
    <row r="55">
      <c r="A55" s="7" t="n">
        <v>51</v>
      </c>
      <c r="B55" s="8" t="inlineStr">
        <is>
          <t>Seroja Gardens</t>
        </is>
      </c>
      <c r="C55" s="9" t="n"/>
      <c r="D55" s="10" t="n">
        <v>0</v>
      </c>
      <c r="E55" s="7" t="inlineStr"/>
      <c r="F55" s="8" t="inlineStr"/>
      <c r="G55" s="10" t="n"/>
      <c r="H55" s="10" t="n"/>
      <c r="I55" s="11" t="n"/>
      <c r="J55" s="10" t="n"/>
      <c r="K55" s="10" t="n"/>
      <c r="L55" s="11" t="n"/>
      <c r="M55" s="10" t="n"/>
      <c r="N55" s="10" t="n"/>
      <c r="O55" s="11" t="n"/>
      <c r="P55" s="10" t="n"/>
      <c r="Q55" s="10" t="n"/>
      <c r="R55" s="11" t="n"/>
      <c r="S55" s="12" t="n"/>
      <c r="T55" s="12" t="n"/>
      <c r="U55" s="13" t="n"/>
      <c r="V55" s="8" t="inlineStr">
        <is>
          <t>Not launched yet.</t>
        </is>
      </c>
    </row>
    <row r="56">
      <c r="A56" s="7" t="n">
        <v>52</v>
      </c>
      <c r="B56" s="8" t="inlineStr">
        <is>
          <t>Emilia</t>
        </is>
      </c>
      <c r="C56" s="9" t="n">
        <v>44979</v>
      </c>
      <c r="D56" s="10" t="n">
        <v>24</v>
      </c>
      <c r="E56" s="7" t="inlineStr">
        <is>
          <t>6755-7,6755-9</t>
        </is>
      </c>
      <c r="F56" s="8" t="inlineStr">
        <is>
          <t>SIME DARBY PROPERTY (NILAI) SDN. BHD.</t>
        </is>
      </c>
      <c r="G56" s="10" t="n"/>
      <c r="H56" s="10" t="n">
        <v>80</v>
      </c>
      <c r="I56" s="11">
        <f>H56/$D$56</f>
        <v/>
      </c>
      <c r="J56" s="10">
        <f>K56-H56</f>
        <v/>
      </c>
      <c r="K56" s="10" t="n">
        <v>80</v>
      </c>
      <c r="L56" s="11">
        <f>K56/$D$56</f>
        <v/>
      </c>
      <c r="M56" s="10">
        <f>N56-K56</f>
        <v/>
      </c>
      <c r="N56" s="10" t="n">
        <v>80</v>
      </c>
      <c r="O56" s="11">
        <f>N56/$D$56</f>
        <v/>
      </c>
      <c r="P56" s="10">
        <f>Q56-N56</f>
        <v/>
      </c>
      <c r="Q56" s="10" t="n">
        <v>80</v>
      </c>
      <c r="R56" s="11">
        <f>Q56/$D$56</f>
        <v/>
      </c>
      <c r="S56" s="12">
        <f>T56-Q56</f>
        <v/>
      </c>
      <c r="T56" s="12" t="n">
        <v>80</v>
      </c>
      <c r="U56" s="13">
        <f>T56/$D$56</f>
        <v/>
      </c>
      <c r="V56" s="8" t="inlineStr"/>
    </row>
    <row r="57">
      <c r="A57" s="7" t="n">
        <v>53</v>
      </c>
      <c r="B57" s="8" t="inlineStr">
        <is>
          <t>Ara Bloc</t>
        </is>
      </c>
      <c r="C57" s="9" t="n">
        <v>46126</v>
      </c>
      <c r="D57" s="10" t="n">
        <v>998</v>
      </c>
      <c r="E57" s="7" t="inlineStr">
        <is>
          <t>7277-30</t>
        </is>
      </c>
      <c r="F57" s="8" t="inlineStr"/>
      <c r="G57" s="10" t="n"/>
      <c r="H57" s="10" t="n">
        <v>158</v>
      </c>
      <c r="I57" s="11">
        <f>H57/$D$57</f>
        <v/>
      </c>
      <c r="J57" s="10">
        <f>K57-H57</f>
        <v/>
      </c>
      <c r="K57" s="10" t="n">
        <v>164</v>
      </c>
      <c r="L57" s="11">
        <f>K57/$D$57</f>
        <v/>
      </c>
      <c r="M57" s="10">
        <f>N57-K57</f>
        <v/>
      </c>
      <c r="N57" s="10" t="n">
        <v>168</v>
      </c>
      <c r="O57" s="11">
        <f>N57/$D$57</f>
        <v/>
      </c>
      <c r="P57" s="10">
        <f>Q57-N57</f>
        <v/>
      </c>
      <c r="Q57" s="10" t="n">
        <v>169</v>
      </c>
      <c r="R57" s="11">
        <f>Q57/$D$57</f>
        <v/>
      </c>
      <c r="S57" s="12">
        <f>T57-Q57</f>
        <v/>
      </c>
      <c r="T57" s="12" t="n">
        <v>172</v>
      </c>
      <c r="U57" s="13">
        <f>T57/$D$57</f>
        <v/>
      </c>
      <c r="V57" s="8" t="inlineStr">
        <is>
          <t>Latest sales - Block A: 34 units, Block B: 70 units, Block C1: 68 units</t>
        </is>
      </c>
    </row>
    <row r="58">
      <c r="A58" s="7" t="n">
        <v>54</v>
      </c>
      <c r="B58" s="8" t="inlineStr">
        <is>
          <t>Senada Residences</t>
        </is>
      </c>
      <c r="C58" s="9" t="n">
        <v>42510</v>
      </c>
      <c r="D58" s="10" t="n">
        <v>429</v>
      </c>
      <c r="E58" s="7" t="inlineStr">
        <is>
          <t>14350-1</t>
        </is>
      </c>
      <c r="F58" s="8" t="inlineStr">
        <is>
          <t>SIME DARBY PROPERTY (SENADA) SDN. BHD.</t>
        </is>
      </c>
      <c r="G58" s="10" t="n"/>
      <c r="H58" s="10" t="n">
        <v>275</v>
      </c>
      <c r="I58" s="11">
        <f>H58/$D$58</f>
        <v/>
      </c>
      <c r="J58" s="10">
        <f>K58-H58</f>
        <v/>
      </c>
      <c r="K58" s="10" t="n">
        <v>275</v>
      </c>
      <c r="L58" s="11">
        <f>K58/$D$58</f>
        <v/>
      </c>
      <c r="M58" s="10">
        <f>N58-K58</f>
        <v/>
      </c>
      <c r="N58" s="10" t="n">
        <v>275</v>
      </c>
      <c r="O58" s="11">
        <f>N58/$D$58</f>
        <v/>
      </c>
      <c r="P58" s="10">
        <f>Q58-N58</f>
        <v/>
      </c>
      <c r="Q58" s="10" t="n">
        <v>275</v>
      </c>
      <c r="R58" s="11">
        <f>Q58/$D$58</f>
        <v/>
      </c>
      <c r="S58" s="12">
        <f>T58-Q58</f>
        <v/>
      </c>
      <c r="T58" s="12" t="n">
        <v>275</v>
      </c>
      <c r="U58" s="13">
        <f>T58/$D$58</f>
        <v/>
      </c>
      <c r="V58" s="8" t="inlineStr"/>
    </row>
    <row r="59">
      <c r="A59" s="7" t="n">
        <v>55</v>
      </c>
      <c r="B59" s="8" t="inlineStr">
        <is>
          <t>Elmina Green (Eg1A)</t>
        </is>
      </c>
      <c r="C59" s="9" t="n">
        <v>43005</v>
      </c>
      <c r="D59" s="10" t="n">
        <v>187</v>
      </c>
      <c r="E59" s="7" t="inlineStr">
        <is>
          <t>13017-19</t>
        </is>
      </c>
      <c r="F59" s="8" t="inlineStr"/>
      <c r="G59" s="10" t="n"/>
      <c r="H59" s="10" t="n">
        <v>183</v>
      </c>
      <c r="I59" s="11">
        <f>H59/$D$59</f>
        <v/>
      </c>
      <c r="J59" s="10">
        <f>K59-H59</f>
        <v/>
      </c>
      <c r="K59" s="10" t="n">
        <v>183</v>
      </c>
      <c r="L59" s="11">
        <f>K59/$D$59</f>
        <v/>
      </c>
      <c r="M59" s="10">
        <f>N59-K59</f>
        <v/>
      </c>
      <c r="N59" s="10" t="n">
        <v>183</v>
      </c>
      <c r="O59" s="11">
        <f>N59/$D$59</f>
        <v/>
      </c>
      <c r="P59" s="10">
        <f>Q59-N59</f>
        <v/>
      </c>
      <c r="Q59" s="10" t="n">
        <v>183</v>
      </c>
      <c r="R59" s="11">
        <f>Q59/$D$59</f>
        <v/>
      </c>
      <c r="S59" s="12">
        <f>T59-Q59</f>
        <v/>
      </c>
      <c r="T59" s="12" t="n">
        <v>183</v>
      </c>
      <c r="U59" s="13">
        <f>T59/$D$59</f>
        <v/>
      </c>
      <c r="V59" s="8" t="inlineStr"/>
    </row>
    <row r="60">
      <c r="A60" s="7" t="n">
        <v>56</v>
      </c>
      <c r="B60" s="8" t="inlineStr">
        <is>
          <t>Elmina Green (Eg1B)</t>
        </is>
      </c>
      <c r="C60" s="9" t="n">
        <v>43021</v>
      </c>
      <c r="D60" s="10" t="n">
        <v>211</v>
      </c>
      <c r="E60" s="7" t="inlineStr">
        <is>
          <t>13017-20</t>
        </is>
      </c>
      <c r="F60" s="8" t="inlineStr"/>
      <c r="G60" s="10" t="n"/>
      <c r="H60" s="10" t="n">
        <v>205</v>
      </c>
      <c r="I60" s="11">
        <f>H60/$D$60</f>
        <v/>
      </c>
      <c r="J60" s="10">
        <f>K60-H60</f>
        <v/>
      </c>
      <c r="K60" s="10" t="n">
        <v>205</v>
      </c>
      <c r="L60" s="11">
        <f>K60/$D$60</f>
        <v/>
      </c>
      <c r="M60" s="10">
        <f>N60-K60</f>
        <v/>
      </c>
      <c r="N60" s="10" t="n">
        <v>205</v>
      </c>
      <c r="O60" s="11">
        <f>N60/$D$60</f>
        <v/>
      </c>
      <c r="P60" s="10">
        <f>Q60-N60</f>
        <v/>
      </c>
      <c r="Q60" s="10" t="n">
        <v>205</v>
      </c>
      <c r="R60" s="11">
        <f>Q60/$D$60</f>
        <v/>
      </c>
      <c r="S60" s="12">
        <f>T60-Q60</f>
        <v/>
      </c>
      <c r="T60" s="12" t="n">
        <v>205</v>
      </c>
      <c r="U60" s="13">
        <f>T60/$D$60</f>
        <v/>
      </c>
      <c r="V60" s="8" t="inlineStr"/>
    </row>
    <row r="61">
      <c r="A61" s="7" t="n">
        <v>57</v>
      </c>
      <c r="B61" s="8" t="inlineStr">
        <is>
          <t>Elmina East - (Phase G3C)</t>
        </is>
      </c>
      <c r="C61" s="9" t="n">
        <v>43035</v>
      </c>
      <c r="D61" s="10" t="n">
        <v>72</v>
      </c>
      <c r="E61" s="7" t="inlineStr">
        <is>
          <t>13017-21</t>
        </is>
      </c>
      <c r="F61" s="8" t="inlineStr"/>
      <c r="G61" s="10" t="n"/>
      <c r="H61" s="10" t="n">
        <v>72</v>
      </c>
      <c r="I61" s="11">
        <f>H61/$D$61</f>
        <v/>
      </c>
      <c r="J61" s="10">
        <f>K61-H61</f>
        <v/>
      </c>
      <c r="K61" s="10" t="n">
        <v>72</v>
      </c>
      <c r="L61" s="11">
        <f>K61/$D$61</f>
        <v/>
      </c>
      <c r="M61" s="10">
        <f>N61-K61</f>
        <v/>
      </c>
      <c r="N61" s="10" t="n">
        <v>72</v>
      </c>
      <c r="O61" s="11">
        <f>N61/$D$61</f>
        <v/>
      </c>
      <c r="P61" s="10">
        <f>Q61-N61</f>
        <v/>
      </c>
      <c r="Q61" s="10" t="n">
        <v>72</v>
      </c>
      <c r="R61" s="11">
        <f>Q61/$D$61</f>
        <v/>
      </c>
      <c r="S61" s="12">
        <f>T61-Q61</f>
        <v/>
      </c>
      <c r="T61" s="12" t="n">
        <v>72</v>
      </c>
      <c r="U61" s="13">
        <f>T61/$D$61</f>
        <v/>
      </c>
      <c r="V61" s="8" t="inlineStr"/>
    </row>
    <row r="62">
      <c r="A62" s="7" t="n">
        <v>58</v>
      </c>
      <c r="B62" s="8" t="inlineStr">
        <is>
          <t>Phase Eg1C</t>
        </is>
      </c>
      <c r="C62" s="9" t="n">
        <v>43349</v>
      </c>
      <c r="D62" s="10" t="n">
        <v>181</v>
      </c>
      <c r="E62" s="7" t="inlineStr">
        <is>
          <t>13017-22</t>
        </is>
      </c>
      <c r="F62" s="8" t="inlineStr"/>
      <c r="G62" s="10" t="n"/>
      <c r="H62" s="10" t="n">
        <v>181</v>
      </c>
      <c r="I62" s="11">
        <f>H62/$D$62</f>
        <v/>
      </c>
      <c r="J62" s="10">
        <f>K62-H62</f>
        <v/>
      </c>
      <c r="K62" s="10" t="n">
        <v>181</v>
      </c>
      <c r="L62" s="11">
        <f>K62/$D$62</f>
        <v/>
      </c>
      <c r="M62" s="10">
        <f>N62-K62</f>
        <v/>
      </c>
      <c r="N62" s="10" t="n">
        <v>181</v>
      </c>
      <c r="O62" s="11">
        <f>N62/$D$62</f>
        <v/>
      </c>
      <c r="P62" s="10">
        <f>Q62-N62</f>
        <v/>
      </c>
      <c r="Q62" s="10" t="n">
        <v>181</v>
      </c>
      <c r="R62" s="11">
        <f>Q62/$D$62</f>
        <v/>
      </c>
      <c r="S62" s="12">
        <f>T62-Q62</f>
        <v/>
      </c>
      <c r="T62" s="12" t="n">
        <v>181</v>
      </c>
      <c r="U62" s="13">
        <f>T62/$D$62</f>
        <v/>
      </c>
      <c r="V62" s="8" t="inlineStr"/>
    </row>
    <row r="63">
      <c r="A63" s="7" t="n">
        <v>59</v>
      </c>
      <c r="B63" s="8" t="inlineStr">
        <is>
          <t>Phase G5</t>
        </is>
      </c>
      <c r="C63" s="9" t="n">
        <v>43439</v>
      </c>
      <c r="D63" s="10" t="n">
        <v>90</v>
      </c>
      <c r="E63" s="7" t="inlineStr">
        <is>
          <t>13017-23</t>
        </is>
      </c>
      <c r="F63" s="8" t="inlineStr"/>
      <c r="G63" s="10" t="n"/>
      <c r="H63" s="10" t="n">
        <v>47</v>
      </c>
      <c r="I63" s="11">
        <f>H63/$D$63</f>
        <v/>
      </c>
      <c r="J63" s="10">
        <f>K63-H63</f>
        <v/>
      </c>
      <c r="K63" s="10" t="n">
        <v>47</v>
      </c>
      <c r="L63" s="11">
        <f>K63/$D$63</f>
        <v/>
      </c>
      <c r="M63" s="10">
        <f>N63-K63</f>
        <v/>
      </c>
      <c r="N63" s="10" t="n">
        <v>47</v>
      </c>
      <c r="O63" s="11">
        <f>N63/$D$63</f>
        <v/>
      </c>
      <c r="P63" s="10">
        <f>Q63-N63</f>
        <v/>
      </c>
      <c r="Q63" s="10" t="n">
        <v>47</v>
      </c>
      <c r="R63" s="11">
        <f>Q63/$D$63</f>
        <v/>
      </c>
      <c r="S63" s="12">
        <f>T63-Q63</f>
        <v/>
      </c>
      <c r="T63" s="12" t="n">
        <v>47</v>
      </c>
      <c r="U63" s="13">
        <f>T63/$D$63</f>
        <v/>
      </c>
      <c r="V63" s="8" t="inlineStr"/>
    </row>
    <row r="64">
      <c r="A64" s="7" t="n">
        <v>60</v>
      </c>
      <c r="B64" s="8" t="inlineStr">
        <is>
          <t>Phase Eg2 (Rumah Selangorku)</t>
        </is>
      </c>
      <c r="C64" s="9" t="n">
        <v>43539</v>
      </c>
      <c r="D64" s="10" t="n">
        <v>562</v>
      </c>
      <c r="E64" s="7" t="inlineStr">
        <is>
          <t>13017-24</t>
        </is>
      </c>
      <c r="F64" s="8" t="inlineStr"/>
      <c r="G64" s="10" t="n"/>
      <c r="H64" s="10" t="n">
        <v>348</v>
      </c>
      <c r="I64" s="11">
        <f>H64/$D$64</f>
        <v/>
      </c>
      <c r="J64" s="10">
        <f>K64-H64</f>
        <v/>
      </c>
      <c r="K64" s="10" t="n">
        <v>348</v>
      </c>
      <c r="L64" s="11">
        <f>K64/$D$64</f>
        <v/>
      </c>
      <c r="M64" s="10">
        <f>N64-K64</f>
        <v/>
      </c>
      <c r="N64" s="10" t="n">
        <v>348</v>
      </c>
      <c r="O64" s="11">
        <f>N64/$D$64</f>
        <v/>
      </c>
      <c r="P64" s="10">
        <f>Q64-N64</f>
        <v/>
      </c>
      <c r="Q64" s="10" t="n">
        <v>348</v>
      </c>
      <c r="R64" s="11">
        <f>Q64/$D$64</f>
        <v/>
      </c>
      <c r="S64" s="12">
        <f>T64-Q64</f>
        <v/>
      </c>
      <c r="T64" s="12" t="n">
        <v>348</v>
      </c>
      <c r="U64" s="13">
        <f>T64/$D$64</f>
        <v/>
      </c>
      <c r="V64" s="8" t="inlineStr">
        <is>
          <t>Latest sales - Block A: 126 units, Block B: 96 units, Block C: 126 units</t>
        </is>
      </c>
    </row>
    <row r="65">
      <c r="A65" s="7" t="n">
        <v>61</v>
      </c>
      <c r="B65" s="8" t="inlineStr">
        <is>
          <t>Phase Ev5A</t>
        </is>
      </c>
      <c r="C65" s="9" t="n">
        <v>43540</v>
      </c>
      <c r="D65" s="10" t="n">
        <v>168</v>
      </c>
      <c r="E65" s="7" t="inlineStr">
        <is>
          <t>13017-25</t>
        </is>
      </c>
      <c r="F65" s="8" t="inlineStr"/>
      <c r="G65" s="10" t="n"/>
      <c r="H65" s="10" t="n">
        <v>168</v>
      </c>
      <c r="I65" s="11">
        <f>H65/$D$65</f>
        <v/>
      </c>
      <c r="J65" s="10">
        <f>K65-H65</f>
        <v/>
      </c>
      <c r="K65" s="10" t="n">
        <v>168</v>
      </c>
      <c r="L65" s="11">
        <f>K65/$D$65</f>
        <v/>
      </c>
      <c r="M65" s="10">
        <f>N65-K65</f>
        <v/>
      </c>
      <c r="N65" s="10" t="n">
        <v>168</v>
      </c>
      <c r="O65" s="11">
        <f>N65/$D$65</f>
        <v/>
      </c>
      <c r="P65" s="10">
        <f>Q65-N65</f>
        <v/>
      </c>
      <c r="Q65" s="10" t="n">
        <v>168</v>
      </c>
      <c r="R65" s="11">
        <f>Q65/$D$65</f>
        <v/>
      </c>
      <c r="S65" s="12">
        <f>T65-Q65</f>
        <v/>
      </c>
      <c r="T65" s="12" t="n">
        <v>168</v>
      </c>
      <c r="U65" s="13">
        <f>T65/$D$65</f>
        <v/>
      </c>
      <c r="V65" s="8" t="inlineStr"/>
    </row>
    <row r="66">
      <c r="A66" s="7" t="n">
        <v>62</v>
      </c>
      <c r="B66" s="8" t="inlineStr">
        <is>
          <t>Phase Ev5B</t>
        </is>
      </c>
      <c r="C66" s="9" t="n">
        <v>43544</v>
      </c>
      <c r="D66" s="10" t="n">
        <v>205</v>
      </c>
      <c r="E66" s="7" t="inlineStr">
        <is>
          <t>13017-26</t>
        </is>
      </c>
      <c r="F66" s="8" t="inlineStr"/>
      <c r="G66" s="10" t="n"/>
      <c r="H66" s="10" t="n">
        <v>204</v>
      </c>
      <c r="I66" s="11">
        <f>H66/$D$66</f>
        <v/>
      </c>
      <c r="J66" s="10">
        <f>K66-H66</f>
        <v/>
      </c>
      <c r="K66" s="10" t="n">
        <v>204</v>
      </c>
      <c r="L66" s="11">
        <f>K66/$D$66</f>
        <v/>
      </c>
      <c r="M66" s="10">
        <f>N66-K66</f>
        <v/>
      </c>
      <c r="N66" s="10" t="n">
        <v>204</v>
      </c>
      <c r="O66" s="11">
        <f>N66/$D$66</f>
        <v/>
      </c>
      <c r="P66" s="10">
        <f>Q66-N66</f>
        <v/>
      </c>
      <c r="Q66" s="10" t="n">
        <v>204</v>
      </c>
      <c r="R66" s="11">
        <f>Q66/$D$66</f>
        <v/>
      </c>
      <c r="S66" s="12">
        <f>T66-Q66</f>
        <v/>
      </c>
      <c r="T66" s="12" t="n">
        <v>204</v>
      </c>
      <c r="U66" s="13">
        <f>T66/$D$66</f>
        <v/>
      </c>
      <c r="V66" s="8" t="inlineStr"/>
    </row>
    <row r="67">
      <c r="A67" s="7" t="n">
        <v>63</v>
      </c>
      <c r="B67" s="8" t="inlineStr">
        <is>
          <t>Elmina Ilham</t>
        </is>
      </c>
      <c r="C67" s="9" t="n">
        <v>43861</v>
      </c>
      <c r="D67" s="10" t="n">
        <v>513</v>
      </c>
      <c r="E67" s="7" t="inlineStr">
        <is>
          <t>13017-27</t>
        </is>
      </c>
      <c r="F67" s="8" t="inlineStr"/>
      <c r="G67" s="10" t="n"/>
      <c r="H67" s="10" t="n">
        <v>300</v>
      </c>
      <c r="I67" s="11">
        <f>H67/$D$67</f>
        <v/>
      </c>
      <c r="J67" s="10">
        <f>K67-H67</f>
        <v/>
      </c>
      <c r="K67" s="10" t="n">
        <v>300</v>
      </c>
      <c r="L67" s="11">
        <f>K67/$D$67</f>
        <v/>
      </c>
      <c r="M67" s="10">
        <f>N67-K67</f>
        <v/>
      </c>
      <c r="N67" s="10" t="n">
        <v>300</v>
      </c>
      <c r="O67" s="11">
        <f>N67/$D$67</f>
        <v/>
      </c>
      <c r="P67" s="10">
        <f>Q67-N67</f>
        <v/>
      </c>
      <c r="Q67" s="10" t="n">
        <v>300</v>
      </c>
      <c r="R67" s="11">
        <f>Q67/$D$67</f>
        <v/>
      </c>
      <c r="S67" s="12">
        <f>T67-Q67</f>
        <v/>
      </c>
      <c r="T67" s="12" t="n">
        <v>300</v>
      </c>
      <c r="U67" s="13">
        <f>T67/$D$67</f>
        <v/>
      </c>
      <c r="V67" s="8" t="inlineStr"/>
    </row>
    <row r="68">
      <c r="A68" s="7" t="n">
        <v>64</v>
      </c>
      <c r="B68" s="8" t="inlineStr">
        <is>
          <t>Elmina Hijauan Dua (Fasa A)</t>
        </is>
      </c>
      <c r="C68" s="9" t="n">
        <v>43867</v>
      </c>
      <c r="D68" s="10" t="n">
        <v>218</v>
      </c>
      <c r="E68" s="7" t="inlineStr">
        <is>
          <t>13017-28</t>
        </is>
      </c>
      <c r="F68" s="8" t="inlineStr"/>
      <c r="G68" s="10" t="n"/>
      <c r="H68" s="10" t="n">
        <v>49</v>
      </c>
      <c r="I68" s="11">
        <f>H68/$D$68</f>
        <v/>
      </c>
      <c r="J68" s="10">
        <f>K68-H68</f>
        <v/>
      </c>
      <c r="K68" s="10" t="n">
        <v>49</v>
      </c>
      <c r="L68" s="11">
        <f>K68/$D$68</f>
        <v/>
      </c>
      <c r="M68" s="10">
        <f>N68-K68</f>
        <v/>
      </c>
      <c r="N68" s="10" t="n">
        <v>49</v>
      </c>
      <c r="O68" s="11">
        <f>N68/$D$68</f>
        <v/>
      </c>
      <c r="P68" s="10">
        <f>Q68-N68</f>
        <v/>
      </c>
      <c r="Q68" s="10" t="n">
        <v>49</v>
      </c>
      <c r="R68" s="11">
        <f>Q68/$D$68</f>
        <v/>
      </c>
      <c r="S68" s="12">
        <f>T68-Q68</f>
        <v/>
      </c>
      <c r="T68" s="12" t="n">
        <v>49</v>
      </c>
      <c r="U68" s="13">
        <f>T68/$D$68</f>
        <v/>
      </c>
      <c r="V68" s="8" t="inlineStr"/>
    </row>
    <row r="69">
      <c r="A69" s="7" t="n">
        <v>65</v>
      </c>
      <c r="B69" s="8" t="inlineStr">
        <is>
          <t>Elmina Hijauan Dua (Fasa B)</t>
        </is>
      </c>
      <c r="C69" s="9" t="n">
        <v>43880</v>
      </c>
      <c r="D69" s="10" t="n">
        <v>194</v>
      </c>
      <c r="E69" s="7" t="inlineStr">
        <is>
          <t>13017-29</t>
        </is>
      </c>
      <c r="F69" s="8" t="inlineStr"/>
      <c r="G69" s="10" t="n"/>
      <c r="H69" s="10" t="n">
        <v>31</v>
      </c>
      <c r="I69" s="11">
        <f>H69/$D$69</f>
        <v/>
      </c>
      <c r="J69" s="10">
        <f>K69-H69</f>
        <v/>
      </c>
      <c r="K69" s="10" t="n">
        <v>31</v>
      </c>
      <c r="L69" s="11">
        <f>K69/$D$69</f>
        <v/>
      </c>
      <c r="M69" s="10">
        <f>N69-K69</f>
        <v/>
      </c>
      <c r="N69" s="10" t="n">
        <v>31</v>
      </c>
      <c r="O69" s="11">
        <f>N69/$D$69</f>
        <v/>
      </c>
      <c r="P69" s="10">
        <f>Q69-N69</f>
        <v/>
      </c>
      <c r="Q69" s="10" t="n">
        <v>31</v>
      </c>
      <c r="R69" s="11">
        <f>Q69/$D$69</f>
        <v/>
      </c>
      <c r="S69" s="12">
        <f>T69-Q69</f>
        <v/>
      </c>
      <c r="T69" s="12" t="n">
        <v>31</v>
      </c>
      <c r="U69" s="13">
        <f>T69/$D$69</f>
        <v/>
      </c>
      <c r="V69" s="8" t="inlineStr"/>
    </row>
    <row r="70">
      <c r="A70" s="7" t="n">
        <v>66</v>
      </c>
      <c r="B70" s="8" t="inlineStr">
        <is>
          <t>Hevea (Fasa B)</t>
        </is>
      </c>
      <c r="C70" s="9" t="n">
        <v>44183</v>
      </c>
      <c r="D70" s="10" t="n">
        <v>57</v>
      </c>
      <c r="E70" s="7" t="inlineStr">
        <is>
          <t>13017-30</t>
        </is>
      </c>
      <c r="F70" s="8" t="inlineStr"/>
      <c r="G70" s="10" t="n"/>
      <c r="H70" s="10" t="n">
        <v>14</v>
      </c>
      <c r="I70" s="11">
        <f>H70/$D$70</f>
        <v/>
      </c>
      <c r="J70" s="10">
        <f>K70-H70</f>
        <v/>
      </c>
      <c r="K70" s="10" t="n">
        <v>14</v>
      </c>
      <c r="L70" s="11">
        <f>K70/$D$70</f>
        <v/>
      </c>
      <c r="M70" s="10">
        <f>N70-K70</f>
        <v/>
      </c>
      <c r="N70" s="10" t="n">
        <v>14</v>
      </c>
      <c r="O70" s="11">
        <f>N70/$D$70</f>
        <v/>
      </c>
      <c r="P70" s="10">
        <f>Q70-N70</f>
        <v/>
      </c>
      <c r="Q70" s="10" t="n">
        <v>14</v>
      </c>
      <c r="R70" s="11">
        <f>Q70/$D$70</f>
        <v/>
      </c>
      <c r="S70" s="12">
        <f>T70-Q70</f>
        <v/>
      </c>
      <c r="T70" s="12" t="n">
        <v>14</v>
      </c>
      <c r="U70" s="13">
        <f>T70/$D$70</f>
        <v/>
      </c>
      <c r="V70" s="8" t="inlineStr"/>
    </row>
    <row r="71">
      <c r="A71" s="7" t="n">
        <v>67</v>
      </c>
      <c r="B71" s="8" t="inlineStr">
        <is>
          <t>Hevea (Fasa A)</t>
        </is>
      </c>
      <c r="C71" s="9" t="n">
        <v>44184</v>
      </c>
      <c r="D71" s="10" t="n">
        <v>69</v>
      </c>
      <c r="E71" s="7" t="inlineStr">
        <is>
          <t>13017-31</t>
        </is>
      </c>
      <c r="F71" s="8" t="inlineStr"/>
      <c r="G71" s="10" t="n"/>
      <c r="H71" s="10" t="n">
        <v>66</v>
      </c>
      <c r="I71" s="11">
        <f>H71/$D$71</f>
        <v/>
      </c>
      <c r="J71" s="10">
        <f>K71-H71</f>
        <v/>
      </c>
      <c r="K71" s="10" t="n">
        <v>66</v>
      </c>
      <c r="L71" s="11">
        <f>K71/$D$71</f>
        <v/>
      </c>
      <c r="M71" s="10">
        <f>N71-K71</f>
        <v/>
      </c>
      <c r="N71" s="10" t="n">
        <v>66</v>
      </c>
      <c r="O71" s="11">
        <f>N71/$D$71</f>
        <v/>
      </c>
      <c r="P71" s="10">
        <f>Q71-N71</f>
        <v/>
      </c>
      <c r="Q71" s="10" t="n">
        <v>66</v>
      </c>
      <c r="R71" s="11">
        <f>Q71/$D$71</f>
        <v/>
      </c>
      <c r="S71" s="12">
        <f>T71-Q71</f>
        <v/>
      </c>
      <c r="T71" s="12" t="n">
        <v>66</v>
      </c>
      <c r="U71" s="13">
        <f>T71/$D$71</f>
        <v/>
      </c>
      <c r="V71" s="8" t="inlineStr"/>
    </row>
    <row r="72">
      <c r="A72" s="7" t="n">
        <v>68</v>
      </c>
      <c r="B72" s="8" t="inlineStr">
        <is>
          <t>Elmina Hijauan Empat (Fasa A)</t>
        </is>
      </c>
      <c r="C72" s="9" t="n">
        <v>44257</v>
      </c>
      <c r="D72" s="10" t="n">
        <v>189</v>
      </c>
      <c r="E72" s="7" t="inlineStr">
        <is>
          <t>13017-32</t>
        </is>
      </c>
      <c r="F72" s="8" t="inlineStr"/>
      <c r="G72" s="10" t="n"/>
      <c r="H72" s="10" t="n">
        <v>1</v>
      </c>
      <c r="I72" s="11">
        <f>H72/$D$72</f>
        <v/>
      </c>
      <c r="J72" s="10">
        <f>K72-H72</f>
        <v/>
      </c>
      <c r="K72" s="10" t="n">
        <v>1</v>
      </c>
      <c r="L72" s="11">
        <f>K72/$D$72</f>
        <v/>
      </c>
      <c r="M72" s="10">
        <f>N72-K72</f>
        <v/>
      </c>
      <c r="N72" s="10" t="n">
        <v>1</v>
      </c>
      <c r="O72" s="11">
        <f>N72/$D$72</f>
        <v/>
      </c>
      <c r="P72" s="10">
        <f>Q72-N72</f>
        <v/>
      </c>
      <c r="Q72" s="10" t="n">
        <v>1</v>
      </c>
      <c r="R72" s="11">
        <f>Q72/$D$72</f>
        <v/>
      </c>
      <c r="S72" s="12">
        <f>T72-Q72</f>
        <v/>
      </c>
      <c r="T72" s="12" t="n">
        <v>1</v>
      </c>
      <c r="U72" s="13">
        <f>T72/$D$72</f>
        <v/>
      </c>
      <c r="V72" s="8" t="inlineStr"/>
    </row>
    <row r="73">
      <c r="A73" s="7" t="n">
        <v>69</v>
      </c>
      <c r="B73" s="8" t="inlineStr">
        <is>
          <t>Elmina Hijauan Empat (Fasa B)</t>
        </is>
      </c>
      <c r="C73" s="9" t="n">
        <v>44256</v>
      </c>
      <c r="D73" s="10" t="n">
        <v>160</v>
      </c>
      <c r="E73" s="7" t="inlineStr">
        <is>
          <t>13017-33</t>
        </is>
      </c>
      <c r="F73" s="8" t="inlineStr"/>
      <c r="G73" s="10" t="n"/>
      <c r="H73" s="10" t="n">
        <v>16</v>
      </c>
      <c r="I73" s="11">
        <f>H73/$D$73</f>
        <v/>
      </c>
      <c r="J73" s="10">
        <f>K73-H73</f>
        <v/>
      </c>
      <c r="K73" s="10" t="n">
        <v>16</v>
      </c>
      <c r="L73" s="11">
        <f>K73/$D$73</f>
        <v/>
      </c>
      <c r="M73" s="10">
        <f>N73-K73</f>
        <v/>
      </c>
      <c r="N73" s="10" t="n">
        <v>16</v>
      </c>
      <c r="O73" s="11">
        <f>N73/$D$73</f>
        <v/>
      </c>
      <c r="P73" s="10">
        <f>Q73-N73</f>
        <v/>
      </c>
      <c r="Q73" s="10" t="n">
        <v>16</v>
      </c>
      <c r="R73" s="11">
        <f>Q73/$D$73</f>
        <v/>
      </c>
      <c r="S73" s="12">
        <f>T73-Q73</f>
        <v/>
      </c>
      <c r="T73" s="12" t="n">
        <v>16</v>
      </c>
      <c r="U73" s="13">
        <f>T73/$D$73</f>
        <v/>
      </c>
      <c r="V73" s="8" t="inlineStr"/>
    </row>
    <row r="74">
      <c r="A74" s="7" t="n">
        <v>70</v>
      </c>
      <c r="B74" s="8" t="inlineStr">
        <is>
          <t>Elmina Hijauan Lima</t>
        </is>
      </c>
      <c r="C74" s="9" t="n">
        <v>44428</v>
      </c>
      <c r="D74" s="10" t="n">
        <v>208</v>
      </c>
      <c r="E74" s="7" t="inlineStr">
        <is>
          <t>13017-34</t>
        </is>
      </c>
      <c r="F74" s="8" t="inlineStr"/>
      <c r="G74" s="10" t="n"/>
      <c r="H74" s="10" t="n">
        <v>117</v>
      </c>
      <c r="I74" s="11">
        <f>H74/$D$74</f>
        <v/>
      </c>
      <c r="J74" s="10">
        <f>K74-H74</f>
        <v/>
      </c>
      <c r="K74" s="10" t="n">
        <v>117</v>
      </c>
      <c r="L74" s="11">
        <f>K74/$D$74</f>
        <v/>
      </c>
      <c r="M74" s="10">
        <f>N74-K74</f>
        <v/>
      </c>
      <c r="N74" s="10" t="n">
        <v>117</v>
      </c>
      <c r="O74" s="11">
        <f>N74/$D$74</f>
        <v/>
      </c>
      <c r="P74" s="10">
        <f>Q74-N74</f>
        <v/>
      </c>
      <c r="Q74" s="10" t="n">
        <v>117</v>
      </c>
      <c r="R74" s="11">
        <f>Q74/$D$74</f>
        <v/>
      </c>
      <c r="S74" s="12">
        <f>T74-Q74</f>
        <v/>
      </c>
      <c r="T74" s="12" t="n">
        <v>117</v>
      </c>
      <c r="U74" s="13">
        <f>T74/$D$74</f>
        <v/>
      </c>
      <c r="V74" s="8" t="inlineStr"/>
    </row>
    <row r="75">
      <c r="A75" s="7" t="n">
        <v>71</v>
      </c>
      <c r="B75" s="8" t="inlineStr">
        <is>
          <t>Ilham Residence 2</t>
        </is>
      </c>
      <c r="C75" s="9" t="n">
        <v>44638</v>
      </c>
      <c r="D75" s="10" t="n">
        <v>277</v>
      </c>
      <c r="E75" s="7" t="inlineStr">
        <is>
          <t>13017-35</t>
        </is>
      </c>
      <c r="F75" s="8" t="inlineStr"/>
      <c r="G75" s="10" t="n"/>
      <c r="H75" s="10" t="n">
        <v>277</v>
      </c>
      <c r="I75" s="11">
        <f>H75/$D$75</f>
        <v/>
      </c>
      <c r="J75" s="10">
        <f>K75-H75</f>
        <v/>
      </c>
      <c r="K75" s="10" t="n">
        <v>277</v>
      </c>
      <c r="L75" s="11">
        <f>K75/$D$75</f>
        <v/>
      </c>
      <c r="M75" s="10">
        <f>N75-K75</f>
        <v/>
      </c>
      <c r="N75" s="10" t="n">
        <v>277</v>
      </c>
      <c r="O75" s="11">
        <f>N75/$D$75</f>
        <v/>
      </c>
      <c r="P75" s="10">
        <f>Q75-N75</f>
        <v/>
      </c>
      <c r="Q75" s="10" t="n">
        <v>277</v>
      </c>
      <c r="R75" s="11">
        <f>Q75/$D$75</f>
        <v/>
      </c>
      <c r="S75" s="12">
        <f>T75-Q75</f>
        <v/>
      </c>
      <c r="T75" s="12" t="n">
        <v>277</v>
      </c>
      <c r="U75" s="13">
        <f>T75/$D$75</f>
        <v/>
      </c>
      <c r="V75" s="8" t="inlineStr"/>
    </row>
    <row r="76">
      <c r="A76" s="7" t="n">
        <v>72</v>
      </c>
      <c r="B76" s="8" t="inlineStr">
        <is>
          <t>Elmina Hijauan Enam (Fasa A)</t>
        </is>
      </c>
      <c r="C76" s="9" t="n">
        <v>44705</v>
      </c>
      <c r="D76" s="10" t="n">
        <v>116</v>
      </c>
      <c r="E76" s="7" t="inlineStr">
        <is>
          <t>13017-36</t>
        </is>
      </c>
      <c r="F76" s="8" t="inlineStr"/>
      <c r="G76" s="10" t="n"/>
      <c r="H76" s="10" t="n">
        <v>113</v>
      </c>
      <c r="I76" s="11">
        <f>H76/$D$76</f>
        <v/>
      </c>
      <c r="J76" s="10">
        <f>K76-H76</f>
        <v/>
      </c>
      <c r="K76" s="10" t="n">
        <v>113</v>
      </c>
      <c r="L76" s="11">
        <f>K76/$D$76</f>
        <v/>
      </c>
      <c r="M76" s="10">
        <f>N76-K76</f>
        <v/>
      </c>
      <c r="N76" s="10" t="n">
        <v>113</v>
      </c>
      <c r="O76" s="11">
        <f>N76/$D$76</f>
        <v/>
      </c>
      <c r="P76" s="10">
        <f>Q76-N76</f>
        <v/>
      </c>
      <c r="Q76" s="10" t="n">
        <v>113</v>
      </c>
      <c r="R76" s="11">
        <f>Q76/$D$76</f>
        <v/>
      </c>
      <c r="S76" s="12">
        <f>T76-Q76</f>
        <v/>
      </c>
      <c r="T76" s="12" t="n">
        <v>113</v>
      </c>
      <c r="U76" s="13">
        <f>T76/$D$76</f>
        <v/>
      </c>
      <c r="V76" s="8" t="inlineStr"/>
    </row>
    <row r="77">
      <c r="A77" s="7" t="n">
        <v>73</v>
      </c>
      <c r="B77" s="8" t="inlineStr">
        <is>
          <t>Elmina Hijauan Enam (Fasa B)</t>
        </is>
      </c>
      <c r="C77" s="9" t="n">
        <v>44767</v>
      </c>
      <c r="D77" s="10" t="n">
        <v>139</v>
      </c>
      <c r="E77" s="7" t="inlineStr">
        <is>
          <t>13017-37</t>
        </is>
      </c>
      <c r="F77" s="8" t="inlineStr"/>
      <c r="G77" s="10" t="n"/>
      <c r="H77" s="10" t="n">
        <v>138</v>
      </c>
      <c r="I77" s="11">
        <f>H77/$D$77</f>
        <v/>
      </c>
      <c r="J77" s="10">
        <f>K77-H77</f>
        <v/>
      </c>
      <c r="K77" s="10" t="n">
        <v>138</v>
      </c>
      <c r="L77" s="11">
        <f>K77/$D$77</f>
        <v/>
      </c>
      <c r="M77" s="10">
        <f>N77-K77</f>
        <v/>
      </c>
      <c r="N77" s="10" t="n">
        <v>138</v>
      </c>
      <c r="O77" s="11">
        <f>N77/$D$77</f>
        <v/>
      </c>
      <c r="P77" s="10">
        <f>Q77-N77</f>
        <v/>
      </c>
      <c r="Q77" s="10" t="n">
        <v>138</v>
      </c>
      <c r="R77" s="11">
        <f>Q77/$D$77</f>
        <v/>
      </c>
      <c r="S77" s="12">
        <f>T77-Q77</f>
        <v/>
      </c>
      <c r="T77" s="12" t="n">
        <v>138</v>
      </c>
      <c r="U77" s="13">
        <f>T77/$D$77</f>
        <v/>
      </c>
      <c r="V77" s="8" t="inlineStr"/>
    </row>
    <row r="78">
      <c r="A78" s="7" t="n">
        <v>74</v>
      </c>
      <c r="B78" s="8" t="inlineStr">
        <is>
          <t>Elmina Hijauan Tujuh (Fasa B)</t>
        </is>
      </c>
      <c r="C78" s="9" t="n">
        <v>44854</v>
      </c>
      <c r="D78" s="10" t="n">
        <v>185</v>
      </c>
      <c r="E78" s="7" t="inlineStr">
        <is>
          <t>13017-38</t>
        </is>
      </c>
      <c r="F78" s="8" t="inlineStr"/>
      <c r="G78" s="10" t="n"/>
      <c r="H78" s="10" t="n">
        <v>180</v>
      </c>
      <c r="I78" s="11">
        <f>H78/$D$78</f>
        <v/>
      </c>
      <c r="J78" s="10">
        <f>K78-H78</f>
        <v/>
      </c>
      <c r="K78" s="10" t="n">
        <v>180</v>
      </c>
      <c r="L78" s="11">
        <f>K78/$D$78</f>
        <v/>
      </c>
      <c r="M78" s="10">
        <f>N78-K78</f>
        <v/>
      </c>
      <c r="N78" s="10" t="n">
        <v>180</v>
      </c>
      <c r="O78" s="11">
        <f>N78/$D$78</f>
        <v/>
      </c>
      <c r="P78" s="10">
        <f>Q78-N78</f>
        <v/>
      </c>
      <c r="Q78" s="10" t="n">
        <v>180</v>
      </c>
      <c r="R78" s="11">
        <f>Q78/$D$78</f>
        <v/>
      </c>
      <c r="S78" s="12">
        <f>T78-Q78</f>
        <v/>
      </c>
      <c r="T78" s="12" t="n">
        <v>180</v>
      </c>
      <c r="U78" s="13">
        <f>T78/$D$78</f>
        <v/>
      </c>
      <c r="V78" s="8" t="inlineStr"/>
    </row>
    <row r="79">
      <c r="A79" s="7" t="n">
        <v>75</v>
      </c>
      <c r="B79" s="8" t="inlineStr">
        <is>
          <t>Elmina Hijauan Tujuh (Fasa A)</t>
        </is>
      </c>
      <c r="C79" s="9" t="n">
        <v>44854</v>
      </c>
      <c r="D79" s="10" t="n">
        <v>131</v>
      </c>
      <c r="E79" s="7" t="inlineStr">
        <is>
          <t>13017-39</t>
        </is>
      </c>
      <c r="F79" s="8" t="inlineStr"/>
      <c r="G79" s="10" t="n"/>
      <c r="H79" s="10" t="n">
        <v>130</v>
      </c>
      <c r="I79" s="11">
        <f>H79/$D$79</f>
        <v/>
      </c>
      <c r="J79" s="10">
        <f>K79-H79</f>
        <v/>
      </c>
      <c r="K79" s="10" t="n">
        <v>130</v>
      </c>
      <c r="L79" s="11">
        <f>K79/$D$79</f>
        <v/>
      </c>
      <c r="M79" s="10">
        <f>N79-K79</f>
        <v/>
      </c>
      <c r="N79" s="10" t="n">
        <v>130</v>
      </c>
      <c r="O79" s="11">
        <f>N79/$D$79</f>
        <v/>
      </c>
      <c r="P79" s="10">
        <f>Q79-N79</f>
        <v/>
      </c>
      <c r="Q79" s="10" t="n">
        <v>130</v>
      </c>
      <c r="R79" s="11">
        <f>Q79/$D$79</f>
        <v/>
      </c>
      <c r="S79" s="12">
        <f>T79-Q79</f>
        <v/>
      </c>
      <c r="T79" s="12" t="n">
        <v>130</v>
      </c>
      <c r="U79" s="13">
        <f>T79/$D$79</f>
        <v/>
      </c>
      <c r="V79" s="8" t="inlineStr"/>
    </row>
    <row r="80">
      <c r="A80" s="7" t="n">
        <v>76</v>
      </c>
      <c r="B80" s="8" t="inlineStr">
        <is>
          <t>Elmina Ilham Tiga</t>
        </is>
      </c>
      <c r="C80" s="9" t="n">
        <v>44998</v>
      </c>
      <c r="D80" s="10" t="n">
        <v>303</v>
      </c>
      <c r="E80" s="7" t="inlineStr">
        <is>
          <t>13017-40</t>
        </is>
      </c>
      <c r="F80" s="8" t="inlineStr"/>
      <c r="G80" s="10" t="n"/>
      <c r="H80" s="10" t="n">
        <v>302</v>
      </c>
      <c r="I80" s="11">
        <f>H80/$D$80</f>
        <v/>
      </c>
      <c r="J80" s="10">
        <f>K80-H80</f>
        <v/>
      </c>
      <c r="K80" s="10" t="n">
        <v>302</v>
      </c>
      <c r="L80" s="11">
        <f>K80/$D$80</f>
        <v/>
      </c>
      <c r="M80" s="10">
        <f>N80-K80</f>
        <v/>
      </c>
      <c r="N80" s="10" t="n">
        <v>302</v>
      </c>
      <c r="O80" s="11">
        <f>N80/$D$80</f>
        <v/>
      </c>
      <c r="P80" s="10">
        <f>Q80-N80</f>
        <v/>
      </c>
      <c r="Q80" s="10" t="n">
        <v>302</v>
      </c>
      <c r="R80" s="11">
        <f>Q80/$D$80</f>
        <v/>
      </c>
      <c r="S80" s="12">
        <f>T80-Q80</f>
        <v/>
      </c>
      <c r="T80" s="12" t="n">
        <v>302</v>
      </c>
      <c r="U80" s="13">
        <f>T80/$D$80</f>
        <v/>
      </c>
      <c r="V80" s="8" t="inlineStr">
        <is>
          <t>Latest sales - Block EE: 302 units</t>
        </is>
      </c>
    </row>
    <row r="81">
      <c r="A81" s="7" t="n">
        <v>77</v>
      </c>
      <c r="B81" s="8" t="inlineStr">
        <is>
          <t>Elmina Hijauan Lapan (Fasa B)</t>
        </is>
      </c>
      <c r="C81" s="9" t="n">
        <v>45006</v>
      </c>
      <c r="D81" s="10" t="n">
        <v>80</v>
      </c>
      <c r="E81" s="7" t="inlineStr">
        <is>
          <t>13017-41</t>
        </is>
      </c>
      <c r="F81" s="8" t="inlineStr"/>
      <c r="G81" s="10" t="n"/>
      <c r="H81" s="10" t="n">
        <v>79</v>
      </c>
      <c r="I81" s="11">
        <f>H81/$D$81</f>
        <v/>
      </c>
      <c r="J81" s="10">
        <f>K81-H81</f>
        <v/>
      </c>
      <c r="K81" s="10" t="n">
        <v>79</v>
      </c>
      <c r="L81" s="11">
        <f>K81/$D$81</f>
        <v/>
      </c>
      <c r="M81" s="10">
        <f>N81-K81</f>
        <v/>
      </c>
      <c r="N81" s="10" t="n">
        <v>79</v>
      </c>
      <c r="O81" s="11">
        <f>N81/$D$81</f>
        <v/>
      </c>
      <c r="P81" s="10">
        <f>Q81-N81</f>
        <v/>
      </c>
      <c r="Q81" s="10" t="n">
        <v>79</v>
      </c>
      <c r="R81" s="11">
        <f>Q81/$D$81</f>
        <v/>
      </c>
      <c r="S81" s="12">
        <f>T81-Q81</f>
        <v/>
      </c>
      <c r="T81" s="12" t="n">
        <v>79</v>
      </c>
      <c r="U81" s="13">
        <f>T81/$D$81</f>
        <v/>
      </c>
      <c r="V81" s="8" t="inlineStr"/>
    </row>
    <row r="82">
      <c r="A82" s="7" t="n">
        <v>78</v>
      </c>
      <c r="B82" s="8" t="inlineStr">
        <is>
          <t>Elmina Hijauan Lapan (Fasa A)</t>
        </is>
      </c>
      <c r="C82" s="9" t="n">
        <v>45018</v>
      </c>
      <c r="D82" s="10" t="n">
        <v>88</v>
      </c>
      <c r="E82" s="7" t="inlineStr">
        <is>
          <t>13017-42</t>
        </is>
      </c>
      <c r="F82" s="8" t="inlineStr"/>
      <c r="G82" s="10" t="n"/>
      <c r="H82" s="10" t="n">
        <v>88</v>
      </c>
      <c r="I82" s="11">
        <f>H82/$D$82</f>
        <v/>
      </c>
      <c r="J82" s="10">
        <f>K82-H82</f>
        <v/>
      </c>
      <c r="K82" s="10" t="n">
        <v>88</v>
      </c>
      <c r="L82" s="11">
        <f>K82/$D$82</f>
        <v/>
      </c>
      <c r="M82" s="10">
        <f>N82-K82</f>
        <v/>
      </c>
      <c r="N82" s="10" t="n">
        <v>88</v>
      </c>
      <c r="O82" s="11">
        <f>N82/$D$82</f>
        <v/>
      </c>
      <c r="P82" s="10">
        <f>Q82-N82</f>
        <v/>
      </c>
      <c r="Q82" s="10" t="n">
        <v>88</v>
      </c>
      <c r="R82" s="11">
        <f>Q82/$D$82</f>
        <v/>
      </c>
      <c r="S82" s="12">
        <f>T82-Q82</f>
        <v/>
      </c>
      <c r="T82" s="12" t="n">
        <v>88</v>
      </c>
      <c r="U82" s="13">
        <f>T82/$D$82</f>
        <v/>
      </c>
      <c r="V82" s="8" t="inlineStr"/>
    </row>
    <row r="83">
      <c r="A83" s="7" t="n">
        <v>79</v>
      </c>
      <c r="B83" s="8" t="inlineStr">
        <is>
          <t>Embun</t>
        </is>
      </c>
      <c r="C83" s="9" t="n">
        <v>43823</v>
      </c>
      <c r="D83" s="10" t="n">
        <v>189</v>
      </c>
      <c r="E83" s="7" t="inlineStr">
        <is>
          <t>12408-11</t>
        </is>
      </c>
      <c r="F83" s="8" t="inlineStr"/>
      <c r="G83" s="10" t="n"/>
      <c r="H83" s="10" t="n">
        <v>125</v>
      </c>
      <c r="I83" s="11">
        <f>H83/$D$83</f>
        <v/>
      </c>
      <c r="J83" s="10">
        <f>K83-H83</f>
        <v/>
      </c>
      <c r="K83" s="10" t="n">
        <v>125</v>
      </c>
      <c r="L83" s="11">
        <f>K83/$D$83</f>
        <v/>
      </c>
      <c r="M83" s="10">
        <f>N83-K83</f>
        <v/>
      </c>
      <c r="N83" s="10" t="n">
        <v>125</v>
      </c>
      <c r="O83" s="11">
        <f>N83/$D$83</f>
        <v/>
      </c>
      <c r="P83" s="10">
        <f>Q83-N83</f>
        <v/>
      </c>
      <c r="Q83" s="10" t="n">
        <v>125</v>
      </c>
      <c r="R83" s="11">
        <f>Q83/$D$83</f>
        <v/>
      </c>
      <c r="S83" s="12">
        <f>T83-Q83</f>
        <v/>
      </c>
      <c r="T83" s="12" t="n">
        <v>125</v>
      </c>
      <c r="U83" s="13">
        <f>T83/$D$83</f>
        <v/>
      </c>
      <c r="V83" s="8" t="inlineStr"/>
    </row>
    <row r="84">
      <c r="A84" s="7" t="n">
        <v>80</v>
      </c>
      <c r="B84" s="8" t="inlineStr">
        <is>
          <t>Anggun (Fasa 1)</t>
        </is>
      </c>
      <c r="C84" s="9" t="n">
        <v>44328</v>
      </c>
      <c r="D84" s="10" t="n">
        <v>59</v>
      </c>
      <c r="E84" s="7" t="inlineStr">
        <is>
          <t>12408-12</t>
        </is>
      </c>
      <c r="F84" s="8" t="inlineStr"/>
      <c r="G84" s="10" t="n"/>
      <c r="H84" s="10" t="n">
        <v>12</v>
      </c>
      <c r="I84" s="11">
        <f>H84/$D$84</f>
        <v/>
      </c>
      <c r="J84" s="10">
        <f>K84-H84</f>
        <v/>
      </c>
      <c r="K84" s="10" t="n">
        <v>12</v>
      </c>
      <c r="L84" s="11">
        <f>K84/$D$84</f>
        <v/>
      </c>
      <c r="M84" s="10">
        <f>N84-K84</f>
        <v/>
      </c>
      <c r="N84" s="10" t="n">
        <v>12</v>
      </c>
      <c r="O84" s="11">
        <f>N84/$D$84</f>
        <v/>
      </c>
      <c r="P84" s="10">
        <f>Q84-N84</f>
        <v/>
      </c>
      <c r="Q84" s="10" t="n">
        <v>12</v>
      </c>
      <c r="R84" s="11">
        <f>Q84/$D$84</f>
        <v/>
      </c>
      <c r="S84" s="12">
        <f>T84-Q84</f>
        <v/>
      </c>
      <c r="T84" s="12" t="n">
        <v>12</v>
      </c>
      <c r="U84" s="13">
        <f>T84/$D$84</f>
        <v/>
      </c>
      <c r="V84" s="8" t="inlineStr"/>
    </row>
    <row r="85">
      <c r="A85" s="7" t="n">
        <v>81</v>
      </c>
      <c r="B85" s="8" t="inlineStr">
        <is>
          <t>Anggun (Fasa 2)</t>
        </is>
      </c>
      <c r="C85" s="9" t="n">
        <v>44393</v>
      </c>
      <c r="D85" s="10" t="n">
        <v>86</v>
      </c>
      <c r="E85" s="7" t="inlineStr">
        <is>
          <t>12408-13</t>
        </is>
      </c>
      <c r="F85" s="8" t="inlineStr"/>
      <c r="G85" s="10" t="n"/>
      <c r="H85" s="10" t="n">
        <v>10</v>
      </c>
      <c r="I85" s="11">
        <f>H85/$D$85</f>
        <v/>
      </c>
      <c r="J85" s="10">
        <f>K85-H85</f>
        <v/>
      </c>
      <c r="K85" s="10" t="n">
        <v>10</v>
      </c>
      <c r="L85" s="11">
        <f>K85/$D$85</f>
        <v/>
      </c>
      <c r="M85" s="10">
        <f>N85-K85</f>
        <v/>
      </c>
      <c r="N85" s="10" t="n">
        <v>10</v>
      </c>
      <c r="O85" s="11">
        <f>N85/$D$85</f>
        <v/>
      </c>
      <c r="P85" s="10">
        <f>Q85-N85</f>
        <v/>
      </c>
      <c r="Q85" s="10" t="n">
        <v>10</v>
      </c>
      <c r="R85" s="11">
        <f>Q85/$D$85</f>
        <v/>
      </c>
      <c r="S85" s="12">
        <f>T85-Q85</f>
        <v/>
      </c>
      <c r="T85" s="12" t="n">
        <v>10</v>
      </c>
      <c r="U85" s="13">
        <f>T85/$D$85</f>
        <v/>
      </c>
      <c r="V85" s="8" t="inlineStr"/>
    </row>
    <row r="86">
      <c r="A86" s="7" t="n">
        <v>82</v>
      </c>
      <c r="B86" s="8" t="inlineStr">
        <is>
          <t>Suasana Ainsdale (Fasa 1)</t>
        </is>
      </c>
      <c r="C86" s="9" t="n">
        <v>44932</v>
      </c>
      <c r="D86" s="10" t="n">
        <v>50</v>
      </c>
      <c r="E86" s="7" t="inlineStr">
        <is>
          <t>12408-14</t>
        </is>
      </c>
      <c r="F86" s="8" t="inlineStr"/>
      <c r="G86" s="10" t="n"/>
      <c r="H86" s="10" t="n">
        <v>43</v>
      </c>
      <c r="I86" s="11">
        <f>H86/$D$86</f>
        <v/>
      </c>
      <c r="J86" s="10">
        <f>K86-H86</f>
        <v/>
      </c>
      <c r="K86" s="10" t="n">
        <v>43</v>
      </c>
      <c r="L86" s="11">
        <f>K86/$D$86</f>
        <v/>
      </c>
      <c r="M86" s="10">
        <f>N86-K86</f>
        <v/>
      </c>
      <c r="N86" s="10" t="n">
        <v>43</v>
      </c>
      <c r="O86" s="11">
        <f>N86/$D$86</f>
        <v/>
      </c>
      <c r="P86" s="10">
        <f>Q86-N86</f>
        <v/>
      </c>
      <c r="Q86" s="10" t="n">
        <v>43</v>
      </c>
      <c r="R86" s="11">
        <f>Q86/$D$86</f>
        <v/>
      </c>
      <c r="S86" s="12">
        <f>T86-Q86</f>
        <v/>
      </c>
      <c r="T86" s="12" t="n">
        <v>43</v>
      </c>
      <c r="U86" s="13">
        <f>T86/$D$86</f>
        <v/>
      </c>
      <c r="V86" s="8" t="inlineStr"/>
    </row>
    <row r="87">
      <c r="A87" s="7" t="n">
        <v>83</v>
      </c>
      <c r="B87" s="8" t="inlineStr">
        <is>
          <t>Suasana Ainsdale (Fasa 2)</t>
        </is>
      </c>
      <c r="C87" s="9" t="n">
        <v>44932</v>
      </c>
      <c r="D87" s="10" t="n">
        <v>65</v>
      </c>
      <c r="E87" s="7" t="inlineStr">
        <is>
          <t>12408-15</t>
        </is>
      </c>
      <c r="F87" s="8" t="inlineStr"/>
      <c r="G87" s="10" t="n"/>
      <c r="H87" s="10" t="n">
        <v>23</v>
      </c>
      <c r="I87" s="11">
        <f>H87/$D$87</f>
        <v/>
      </c>
      <c r="J87" s="10">
        <f>K87-H87</f>
        <v/>
      </c>
      <c r="K87" s="10" t="n">
        <v>23</v>
      </c>
      <c r="L87" s="11">
        <f>K87/$D$87</f>
        <v/>
      </c>
      <c r="M87" s="10">
        <f>N87-K87</f>
        <v/>
      </c>
      <c r="N87" s="10" t="n">
        <v>23</v>
      </c>
      <c r="O87" s="11">
        <f>N87/$D$87</f>
        <v/>
      </c>
      <c r="P87" s="10">
        <f>Q87-N87</f>
        <v/>
      </c>
      <c r="Q87" s="10" t="n">
        <v>23</v>
      </c>
      <c r="R87" s="11">
        <f>Q87/$D$87</f>
        <v/>
      </c>
      <c r="S87" s="12">
        <f>T87-Q87</f>
        <v/>
      </c>
      <c r="T87" s="12" t="n">
        <v>23</v>
      </c>
      <c r="U87" s="13">
        <f>T87/$D$87</f>
        <v/>
      </c>
      <c r="V87" s="8" t="inlineStr"/>
    </row>
    <row r="88">
      <c r="A88" s="7" t="n">
        <v>84</v>
      </c>
      <c r="B88" s="8" t="inlineStr">
        <is>
          <t>Phase A2</t>
        </is>
      </c>
      <c r="C88" s="9" t="n">
        <v>43168</v>
      </c>
      <c r="D88" s="10" t="n">
        <v>302</v>
      </c>
      <c r="E88" s="7" t="inlineStr">
        <is>
          <t>6785-7</t>
        </is>
      </c>
      <c r="F88" s="8" t="inlineStr"/>
      <c r="G88" s="10" t="n"/>
      <c r="H88" s="10" t="n">
        <v>298</v>
      </c>
      <c r="I88" s="11">
        <f>H88/$D$88</f>
        <v/>
      </c>
      <c r="J88" s="10">
        <f>K88-H88</f>
        <v/>
      </c>
      <c r="K88" s="10" t="n">
        <v>298</v>
      </c>
      <c r="L88" s="11">
        <f>K88/$D$88</f>
        <v/>
      </c>
      <c r="M88" s="10">
        <f>N88-K88</f>
        <v/>
      </c>
      <c r="N88" s="10" t="n">
        <v>298</v>
      </c>
      <c r="O88" s="11">
        <f>N88/$D$88</f>
        <v/>
      </c>
      <c r="P88" s="10">
        <f>Q88-N88</f>
        <v/>
      </c>
      <c r="Q88" s="10" t="n">
        <v>298</v>
      </c>
      <c r="R88" s="11">
        <f>Q88/$D$88</f>
        <v/>
      </c>
      <c r="S88" s="12">
        <f>T88-Q88</f>
        <v/>
      </c>
      <c r="T88" s="12" t="n">
        <v>298</v>
      </c>
      <c r="U88" s="13">
        <f>T88/$D$88</f>
        <v/>
      </c>
      <c r="V88" s="8" t="inlineStr"/>
    </row>
    <row r="89">
      <c r="A89" s="7" t="n">
        <v>85</v>
      </c>
      <c r="B89" s="8" t="inlineStr">
        <is>
          <t>Phase A3-2</t>
        </is>
      </c>
      <c r="C89" s="9" t="n">
        <v>43330</v>
      </c>
      <c r="D89" s="10" t="n">
        <v>226</v>
      </c>
      <c r="E89" s="7" t="inlineStr">
        <is>
          <t>6785-8</t>
        </is>
      </c>
      <c r="F89" s="8" t="inlineStr"/>
      <c r="G89" s="10" t="n"/>
      <c r="H89" s="10" t="n">
        <v>226</v>
      </c>
      <c r="I89" s="11">
        <f>H89/$D$89</f>
        <v/>
      </c>
      <c r="J89" s="10">
        <f>K89-H89</f>
        <v/>
      </c>
      <c r="K89" s="10" t="n">
        <v>226</v>
      </c>
      <c r="L89" s="11">
        <f>K89/$D$89</f>
        <v/>
      </c>
      <c r="M89" s="10">
        <f>N89-K89</f>
        <v/>
      </c>
      <c r="N89" s="10" t="n">
        <v>226</v>
      </c>
      <c r="O89" s="11">
        <f>N89/$D$89</f>
        <v/>
      </c>
      <c r="P89" s="10">
        <f>Q89-N89</f>
        <v/>
      </c>
      <c r="Q89" s="10" t="n">
        <v>226</v>
      </c>
      <c r="R89" s="11">
        <f>Q89/$D$89</f>
        <v/>
      </c>
      <c r="S89" s="12">
        <f>T89-Q89</f>
        <v/>
      </c>
      <c r="T89" s="12" t="n">
        <v>226</v>
      </c>
      <c r="U89" s="13">
        <f>T89/$D$89</f>
        <v/>
      </c>
      <c r="V89" s="8" t="inlineStr">
        <is>
          <t>Latest sales - Block SC/SC: 226 units</t>
        </is>
      </c>
    </row>
    <row r="90">
      <c r="A90" s="7" t="n">
        <v>86</v>
      </c>
      <c r="B90" s="8" t="inlineStr">
        <is>
          <t>Phase A3-1</t>
        </is>
      </c>
      <c r="C90" s="9" t="n">
        <v>43356</v>
      </c>
      <c r="D90" s="10" t="n">
        <v>176</v>
      </c>
      <c r="E90" s="7" t="inlineStr">
        <is>
          <t>6785-9</t>
        </is>
      </c>
      <c r="F90" s="8" t="inlineStr"/>
      <c r="G90" s="10" t="n"/>
      <c r="H90" s="10" t="n">
        <v>176</v>
      </c>
      <c r="I90" s="11">
        <f>H90/$D$90</f>
        <v/>
      </c>
      <c r="J90" s="10">
        <f>K90-H90</f>
        <v/>
      </c>
      <c r="K90" s="10" t="n">
        <v>176</v>
      </c>
      <c r="L90" s="11">
        <f>K90/$D$90</f>
        <v/>
      </c>
      <c r="M90" s="10">
        <f>N90-K90</f>
        <v/>
      </c>
      <c r="N90" s="10" t="n">
        <v>176</v>
      </c>
      <c r="O90" s="11">
        <f>N90/$D$90</f>
        <v/>
      </c>
      <c r="P90" s="10">
        <f>Q90-N90</f>
        <v/>
      </c>
      <c r="Q90" s="10" t="n">
        <v>176</v>
      </c>
      <c r="R90" s="11">
        <f>Q90/$D$90</f>
        <v/>
      </c>
      <c r="S90" s="12">
        <f>T90-Q90</f>
        <v/>
      </c>
      <c r="T90" s="12" t="n">
        <v>176</v>
      </c>
      <c r="U90" s="13">
        <f>T90/$D$90</f>
        <v/>
      </c>
      <c r="V90" s="8" t="inlineStr">
        <is>
          <t>Latest sales - Block SC/SC: 176 units</t>
        </is>
      </c>
    </row>
    <row r="91">
      <c r="A91" s="7" t="n">
        <v>87</v>
      </c>
      <c r="B91" s="8" t="inlineStr">
        <is>
          <t>Phase A5-1</t>
        </is>
      </c>
      <c r="C91" s="9" t="n">
        <v>43659</v>
      </c>
      <c r="D91" s="10" t="n">
        <v>100</v>
      </c>
      <c r="E91" s="7" t="inlineStr">
        <is>
          <t>6785-10</t>
        </is>
      </c>
      <c r="F91" s="8" t="inlineStr"/>
      <c r="G91" s="10" t="n"/>
      <c r="H91" s="10" t="n">
        <v>100</v>
      </c>
      <c r="I91" s="11">
        <f>H91/$D$91</f>
        <v/>
      </c>
      <c r="J91" s="10">
        <f>K91-H91</f>
        <v/>
      </c>
      <c r="K91" s="10" t="n">
        <v>100</v>
      </c>
      <c r="L91" s="11">
        <f>K91/$D$91</f>
        <v/>
      </c>
      <c r="M91" s="10">
        <f>N91-K91</f>
        <v/>
      </c>
      <c r="N91" s="10" t="n">
        <v>100</v>
      </c>
      <c r="O91" s="11">
        <f>N91/$D$91</f>
        <v/>
      </c>
      <c r="P91" s="10">
        <f>Q91-N91</f>
        <v/>
      </c>
      <c r="Q91" s="10" t="n">
        <v>100</v>
      </c>
      <c r="R91" s="11">
        <f>Q91/$D$91</f>
        <v/>
      </c>
      <c r="S91" s="12">
        <f>T91-Q91</f>
        <v/>
      </c>
      <c r="T91" s="12" t="n">
        <v>100</v>
      </c>
      <c r="U91" s="13">
        <f>T91/$D$91</f>
        <v/>
      </c>
      <c r="V91" s="8" t="inlineStr">
        <is>
          <t>Latest sales - Block SC/SC: 100 units</t>
        </is>
      </c>
    </row>
    <row r="92">
      <c r="A92" s="7" t="n">
        <v>88</v>
      </c>
      <c r="B92" s="8" t="inlineStr">
        <is>
          <t>Phase A5-2</t>
        </is>
      </c>
      <c r="C92" s="9" t="n">
        <v>43662</v>
      </c>
      <c r="D92" s="10" t="n">
        <v>100</v>
      </c>
      <c r="E92" s="7" t="inlineStr">
        <is>
          <t>6785-11</t>
        </is>
      </c>
      <c r="F92" s="8" t="inlineStr"/>
      <c r="G92" s="10" t="n"/>
      <c r="H92" s="10" t="n">
        <v>100</v>
      </c>
      <c r="I92" s="11">
        <f>H92/$D$92</f>
        <v/>
      </c>
      <c r="J92" s="10">
        <f>K92-H92</f>
        <v/>
      </c>
      <c r="K92" s="10" t="n">
        <v>100</v>
      </c>
      <c r="L92" s="11">
        <f>K92/$D$92</f>
        <v/>
      </c>
      <c r="M92" s="10">
        <f>N92-K92</f>
        <v/>
      </c>
      <c r="N92" s="10" t="n">
        <v>100</v>
      </c>
      <c r="O92" s="11">
        <f>N92/$D$92</f>
        <v/>
      </c>
      <c r="P92" s="10">
        <f>Q92-N92</f>
        <v/>
      </c>
      <c r="Q92" s="10" t="n">
        <v>100</v>
      </c>
      <c r="R92" s="11">
        <f>Q92/$D$92</f>
        <v/>
      </c>
      <c r="S92" s="12">
        <f>T92-Q92</f>
        <v/>
      </c>
      <c r="T92" s="12" t="n">
        <v>100</v>
      </c>
      <c r="U92" s="13">
        <f>T92/$D$92</f>
        <v/>
      </c>
      <c r="V92" s="8" t="inlineStr">
        <is>
          <t>Latest sales - Block SC/SC: 100 units</t>
        </is>
      </c>
    </row>
    <row r="93">
      <c r="A93" s="7" t="n">
        <v>89</v>
      </c>
      <c r="B93" s="8" t="inlineStr">
        <is>
          <t>Serenia Ariya 3</t>
        </is>
      </c>
      <c r="C93" s="9" t="n">
        <v>44066</v>
      </c>
      <c r="D93" s="10" t="n">
        <v>122</v>
      </c>
      <c r="E93" s="7" t="inlineStr">
        <is>
          <t>6785-12</t>
        </is>
      </c>
      <c r="F93" s="8" t="inlineStr"/>
      <c r="G93" s="10" t="n"/>
      <c r="H93" s="10" t="n">
        <v>122</v>
      </c>
      <c r="I93" s="11">
        <f>H93/$D$93</f>
        <v/>
      </c>
      <c r="J93" s="10">
        <f>K93-H93</f>
        <v/>
      </c>
      <c r="K93" s="10" t="n">
        <v>122</v>
      </c>
      <c r="L93" s="11">
        <f>K93/$D$93</f>
        <v/>
      </c>
      <c r="M93" s="10">
        <f>N93-K93</f>
        <v/>
      </c>
      <c r="N93" s="10" t="n">
        <v>122</v>
      </c>
      <c r="O93" s="11">
        <f>N93/$D$93</f>
        <v/>
      </c>
      <c r="P93" s="10">
        <f>Q93-N93</f>
        <v/>
      </c>
      <c r="Q93" s="10" t="n">
        <v>122</v>
      </c>
      <c r="R93" s="11">
        <f>Q93/$D$93</f>
        <v/>
      </c>
      <c r="S93" s="12">
        <f>T93-Q93</f>
        <v/>
      </c>
      <c r="T93" s="12" t="n">
        <v>122</v>
      </c>
      <c r="U93" s="13">
        <f>T93/$D$93</f>
        <v/>
      </c>
      <c r="V93" s="8" t="inlineStr">
        <is>
          <t>Latest sales - Block SC/SC: 96 units</t>
        </is>
      </c>
    </row>
    <row r="94">
      <c r="A94" s="7" t="n">
        <v>90</v>
      </c>
      <c r="B94" s="8" t="inlineStr">
        <is>
          <t>Serenia Ariya</t>
        </is>
      </c>
      <c r="C94" s="9" t="n">
        <v>44065</v>
      </c>
      <c r="D94" s="10" t="n">
        <v>87</v>
      </c>
      <c r="E94" s="7" t="inlineStr">
        <is>
          <t>6785-13</t>
        </is>
      </c>
      <c r="F94" s="8" t="inlineStr"/>
      <c r="G94" s="10" t="n"/>
      <c r="H94" s="10" t="n">
        <v>87</v>
      </c>
      <c r="I94" s="11">
        <f>H94/$D$94</f>
        <v/>
      </c>
      <c r="J94" s="10">
        <f>K94-H94</f>
        <v/>
      </c>
      <c r="K94" s="10" t="n">
        <v>87</v>
      </c>
      <c r="L94" s="11">
        <f>K94/$D$94</f>
        <v/>
      </c>
      <c r="M94" s="10">
        <f>N94-K94</f>
        <v/>
      </c>
      <c r="N94" s="10" t="n">
        <v>87</v>
      </c>
      <c r="O94" s="11">
        <f>N94/$D$94</f>
        <v/>
      </c>
      <c r="P94" s="10">
        <f>Q94-N94</f>
        <v/>
      </c>
      <c r="Q94" s="10" t="n">
        <v>87</v>
      </c>
      <c r="R94" s="11">
        <f>Q94/$D$94</f>
        <v/>
      </c>
      <c r="S94" s="12">
        <f>T94-Q94</f>
        <v/>
      </c>
      <c r="T94" s="12" t="n">
        <v>87</v>
      </c>
      <c r="U94" s="13">
        <f>T94/$D$94</f>
        <v/>
      </c>
      <c r="V94" s="8" t="inlineStr">
        <is>
          <t>Latest sales - Block SC/SC: 87 units</t>
        </is>
      </c>
    </row>
    <row r="95">
      <c r="A95" s="7" t="n">
        <v>91</v>
      </c>
      <c r="B95" s="8" t="inlineStr">
        <is>
          <t>Serenia Ariya 2</t>
        </is>
      </c>
      <c r="C95" s="9" t="n">
        <v>44068</v>
      </c>
      <c r="D95" s="10" t="n">
        <v>115</v>
      </c>
      <c r="E95" s="7" t="inlineStr">
        <is>
          <t>6785-14</t>
        </is>
      </c>
      <c r="F95" s="8" t="inlineStr"/>
      <c r="G95" s="10" t="n"/>
      <c r="H95" s="10" t="n">
        <v>111</v>
      </c>
      <c r="I95" s="11">
        <f>H95/$D$95</f>
        <v/>
      </c>
      <c r="J95" s="10">
        <f>K95-H95</f>
        <v/>
      </c>
      <c r="K95" s="10" t="n">
        <v>111</v>
      </c>
      <c r="L95" s="11">
        <f>K95/$D$95</f>
        <v/>
      </c>
      <c r="M95" s="10">
        <f>N95-K95</f>
        <v/>
      </c>
      <c r="N95" s="10" t="n">
        <v>111</v>
      </c>
      <c r="O95" s="11">
        <f>N95/$D$95</f>
        <v/>
      </c>
      <c r="P95" s="10">
        <f>Q95-N95</f>
        <v/>
      </c>
      <c r="Q95" s="10" t="n">
        <v>111</v>
      </c>
      <c r="R95" s="11">
        <f>Q95/$D$95</f>
        <v/>
      </c>
      <c r="S95" s="12">
        <f>T95-Q95</f>
        <v/>
      </c>
      <c r="T95" s="12" t="n">
        <v>111</v>
      </c>
      <c r="U95" s="13">
        <f>T95/$D$95</f>
        <v/>
      </c>
      <c r="V95" s="8" t="inlineStr">
        <is>
          <t>Latest sales - Block SC/SC: 111 units</t>
        </is>
      </c>
    </row>
    <row r="96">
      <c r="A96" s="7" t="n">
        <v>92</v>
      </c>
      <c r="B96" s="8" t="inlineStr">
        <is>
          <t>Serenia Amalia 2</t>
        </is>
      </c>
      <c r="C96" s="9" t="n">
        <v>44268</v>
      </c>
      <c r="D96" s="10" t="n">
        <v>110</v>
      </c>
      <c r="E96" s="7" t="inlineStr">
        <is>
          <t>6785-15</t>
        </is>
      </c>
      <c r="F96" s="8" t="inlineStr"/>
      <c r="G96" s="10" t="n"/>
      <c r="H96" s="10" t="n">
        <v>107</v>
      </c>
      <c r="I96" s="11">
        <f>H96/$D$96</f>
        <v/>
      </c>
      <c r="J96" s="10">
        <f>K96-H96</f>
        <v/>
      </c>
      <c r="K96" s="10" t="n">
        <v>107</v>
      </c>
      <c r="L96" s="11">
        <f>K96/$D$96</f>
        <v/>
      </c>
      <c r="M96" s="10">
        <f>N96-K96</f>
        <v/>
      </c>
      <c r="N96" s="10" t="n">
        <v>107</v>
      </c>
      <c r="O96" s="11">
        <f>N96/$D$96</f>
        <v/>
      </c>
      <c r="P96" s="10">
        <f>Q96-N96</f>
        <v/>
      </c>
      <c r="Q96" s="10" t="n">
        <v>107</v>
      </c>
      <c r="R96" s="11">
        <f>Q96/$D$96</f>
        <v/>
      </c>
      <c r="S96" s="12">
        <f>T96-Q96</f>
        <v/>
      </c>
      <c r="T96" s="12" t="n">
        <v>107</v>
      </c>
      <c r="U96" s="13">
        <f>T96/$D$96</f>
        <v/>
      </c>
      <c r="V96" s="8" t="inlineStr"/>
    </row>
    <row r="97">
      <c r="A97" s="7" t="n">
        <v>93</v>
      </c>
      <c r="B97" s="8" t="inlineStr">
        <is>
          <t>Serenia Amalia 3</t>
        </is>
      </c>
      <c r="C97" s="9" t="n">
        <v>44270</v>
      </c>
      <c r="D97" s="10" t="n">
        <v>60</v>
      </c>
      <c r="E97" s="7" t="inlineStr">
        <is>
          <t>6785-16</t>
        </is>
      </c>
      <c r="F97" s="8" t="inlineStr"/>
      <c r="G97" s="10" t="n"/>
      <c r="H97" s="10" t="n">
        <v>0</v>
      </c>
      <c r="I97" s="11">
        <f>H97/$D$97</f>
        <v/>
      </c>
      <c r="J97" s="10">
        <f>K97-H97</f>
        <v/>
      </c>
      <c r="K97" s="10" t="n">
        <v>0</v>
      </c>
      <c r="L97" s="11">
        <f>K97/$D$97</f>
        <v/>
      </c>
      <c r="M97" s="10">
        <f>N97-K97</f>
        <v/>
      </c>
      <c r="N97" s="10" t="n">
        <v>0</v>
      </c>
      <c r="O97" s="11">
        <f>N97/$D$97</f>
        <v/>
      </c>
      <c r="P97" s="10">
        <f>Q97-N97</f>
        <v/>
      </c>
      <c r="Q97" s="10" t="n">
        <v>0</v>
      </c>
      <c r="R97" s="11">
        <f>Q97/$D$97</f>
        <v/>
      </c>
      <c r="S97" s="12">
        <f>T97-Q97</f>
        <v/>
      </c>
      <c r="T97" s="12" t="n">
        <v>0</v>
      </c>
      <c r="U97" s="13">
        <f>T97/$D$97</f>
        <v/>
      </c>
      <c r="V97" s="8" t="inlineStr"/>
    </row>
    <row r="98">
      <c r="A98" s="7" t="n">
        <v>94</v>
      </c>
      <c r="B98" s="8" t="inlineStr">
        <is>
          <t>Serenia Amalia 4</t>
        </is>
      </c>
      <c r="C98" s="9" t="n">
        <v>44279</v>
      </c>
      <c r="D98" s="10" t="n">
        <v>142</v>
      </c>
      <c r="E98" s="7" t="inlineStr">
        <is>
          <t>6785-17</t>
        </is>
      </c>
      <c r="F98" s="8" t="inlineStr"/>
      <c r="G98" s="10" t="n"/>
      <c r="H98" s="10" t="n">
        <v>0</v>
      </c>
      <c r="I98" s="11">
        <f>H98/$D$98</f>
        <v/>
      </c>
      <c r="J98" s="10">
        <f>K98-H98</f>
        <v/>
      </c>
      <c r="K98" s="10" t="n">
        <v>0</v>
      </c>
      <c r="L98" s="11">
        <f>K98/$D$98</f>
        <v/>
      </c>
      <c r="M98" s="10">
        <f>N98-K98</f>
        <v/>
      </c>
      <c r="N98" s="10" t="n">
        <v>0</v>
      </c>
      <c r="O98" s="11">
        <f>N98/$D$98</f>
        <v/>
      </c>
      <c r="P98" s="10">
        <f>Q98-N98</f>
        <v/>
      </c>
      <c r="Q98" s="10" t="n">
        <v>0</v>
      </c>
      <c r="R98" s="11">
        <f>Q98/$D$98</f>
        <v/>
      </c>
      <c r="S98" s="12">
        <f>T98-Q98</f>
        <v/>
      </c>
      <c r="T98" s="12" t="n">
        <v>0</v>
      </c>
      <c r="U98" s="13">
        <f>T98/$D$98</f>
        <v/>
      </c>
      <c r="V98" s="8" t="inlineStr"/>
    </row>
    <row r="99">
      <c r="A99" s="7" t="n">
        <v>95</v>
      </c>
      <c r="B99" s="8" t="inlineStr">
        <is>
          <t>Serenia Amalia 1</t>
        </is>
      </c>
      <c r="C99" s="9" t="n">
        <v>44278</v>
      </c>
      <c r="D99" s="10" t="n">
        <v>120</v>
      </c>
      <c r="E99" s="7" t="inlineStr">
        <is>
          <t>6785-18</t>
        </is>
      </c>
      <c r="F99" s="8" t="inlineStr"/>
      <c r="G99" s="10" t="n"/>
      <c r="H99" s="10" t="n">
        <v>87</v>
      </c>
      <c r="I99" s="11">
        <f>H99/$D$99</f>
        <v/>
      </c>
      <c r="J99" s="10">
        <f>K99-H99</f>
        <v/>
      </c>
      <c r="K99" s="10" t="n">
        <v>87</v>
      </c>
      <c r="L99" s="11">
        <f>K99/$D$99</f>
        <v/>
      </c>
      <c r="M99" s="10">
        <f>N99-K99</f>
        <v/>
      </c>
      <c r="N99" s="10" t="n">
        <v>87</v>
      </c>
      <c r="O99" s="11">
        <f>N99/$D$99</f>
        <v/>
      </c>
      <c r="P99" s="10">
        <f>Q99-N99</f>
        <v/>
      </c>
      <c r="Q99" s="10" t="n">
        <v>87</v>
      </c>
      <c r="R99" s="11">
        <f>Q99/$D$99</f>
        <v/>
      </c>
      <c r="S99" s="12">
        <f>T99-Q99</f>
        <v/>
      </c>
      <c r="T99" s="12" t="n">
        <v>87</v>
      </c>
      <c r="U99" s="13">
        <f>T99/$D$99</f>
        <v/>
      </c>
      <c r="V99" s="8" t="inlineStr"/>
    </row>
    <row r="100">
      <c r="A100" s="7" t="n">
        <v>96</v>
      </c>
      <c r="B100" s="8" t="inlineStr">
        <is>
          <t>Serenia Aiora 1</t>
        </is>
      </c>
      <c r="C100" s="9" t="n">
        <v>44502</v>
      </c>
      <c r="D100" s="10" t="n">
        <v>144</v>
      </c>
      <c r="E100" s="7" t="inlineStr">
        <is>
          <t>6785-19</t>
        </is>
      </c>
      <c r="F100" s="8" t="inlineStr"/>
      <c r="G100" s="10" t="n"/>
      <c r="H100" s="10" t="n">
        <v>144</v>
      </c>
      <c r="I100" s="11">
        <f>H100/$D$100</f>
        <v/>
      </c>
      <c r="J100" s="10">
        <f>K100-H100</f>
        <v/>
      </c>
      <c r="K100" s="10" t="n">
        <v>144</v>
      </c>
      <c r="L100" s="11">
        <f>K100/$D$100</f>
        <v/>
      </c>
      <c r="M100" s="10">
        <f>N100-K100</f>
        <v/>
      </c>
      <c r="N100" s="10" t="n">
        <v>144</v>
      </c>
      <c r="O100" s="11">
        <f>N100/$D$100</f>
        <v/>
      </c>
      <c r="P100" s="10">
        <f>Q100-N100</f>
        <v/>
      </c>
      <c r="Q100" s="10" t="n">
        <v>144</v>
      </c>
      <c r="R100" s="11">
        <f>Q100/$D$100</f>
        <v/>
      </c>
      <c r="S100" s="12">
        <f>T100-Q100</f>
        <v/>
      </c>
      <c r="T100" s="12" t="n">
        <v>144</v>
      </c>
      <c r="U100" s="13">
        <f>T100/$D$100</f>
        <v/>
      </c>
      <c r="V100" s="8" t="inlineStr"/>
    </row>
    <row r="101">
      <c r="A101" s="7" t="n">
        <v>97</v>
      </c>
      <c r="B101" s="8" t="inlineStr">
        <is>
          <t>Serenia Aiora 2</t>
        </is>
      </c>
      <c r="C101" s="9" t="n">
        <v>44520</v>
      </c>
      <c r="D101" s="10" t="n">
        <v>138</v>
      </c>
      <c r="E101" s="7" t="inlineStr">
        <is>
          <t>6785-20</t>
        </is>
      </c>
      <c r="F101" s="8" t="inlineStr"/>
      <c r="G101" s="10" t="n"/>
      <c r="H101" s="10" t="n">
        <v>138</v>
      </c>
      <c r="I101" s="11">
        <f>H101/$D$101</f>
        <v/>
      </c>
      <c r="J101" s="10">
        <f>K101-H101</f>
        <v/>
      </c>
      <c r="K101" s="10" t="n">
        <v>138</v>
      </c>
      <c r="L101" s="11">
        <f>K101/$D$101</f>
        <v/>
      </c>
      <c r="M101" s="10">
        <f>N101-K101</f>
        <v/>
      </c>
      <c r="N101" s="10" t="n">
        <v>138</v>
      </c>
      <c r="O101" s="11">
        <f>N101/$D$101</f>
        <v/>
      </c>
      <c r="P101" s="10">
        <f>Q101-N101</f>
        <v/>
      </c>
      <c r="Q101" s="10" t="n">
        <v>138</v>
      </c>
      <c r="R101" s="11">
        <f>Q101/$D$101</f>
        <v/>
      </c>
      <c r="S101" s="12">
        <f>T101-Q101</f>
        <v/>
      </c>
      <c r="T101" s="12" t="n">
        <v>138</v>
      </c>
      <c r="U101" s="13">
        <f>T101/$D$101</f>
        <v/>
      </c>
      <c r="V101" s="8" t="inlineStr"/>
    </row>
    <row r="102">
      <c r="A102" s="7" t="n">
        <v>98</v>
      </c>
      <c r="B102" s="8" t="inlineStr">
        <is>
          <t>Serenia Anira 1</t>
        </is>
      </c>
      <c r="C102" s="9" t="n">
        <v>44713</v>
      </c>
      <c r="D102" s="10" t="n">
        <v>84</v>
      </c>
      <c r="E102" s="7" t="inlineStr">
        <is>
          <t>6785-21</t>
        </is>
      </c>
      <c r="F102" s="8" t="inlineStr"/>
      <c r="G102" s="10" t="n"/>
      <c r="H102" s="10" t="n">
        <v>57</v>
      </c>
      <c r="I102" s="11">
        <f>H102/$D$102</f>
        <v/>
      </c>
      <c r="J102" s="10">
        <f>K102-H102</f>
        <v/>
      </c>
      <c r="K102" s="10" t="n">
        <v>57</v>
      </c>
      <c r="L102" s="11">
        <f>K102/$D$102</f>
        <v/>
      </c>
      <c r="M102" s="10">
        <f>N102-K102</f>
        <v/>
      </c>
      <c r="N102" s="10" t="n">
        <v>57</v>
      </c>
      <c r="O102" s="11">
        <f>N102/$D$102</f>
        <v/>
      </c>
      <c r="P102" s="10">
        <f>Q102-N102</f>
        <v/>
      </c>
      <c r="Q102" s="10" t="n">
        <v>57</v>
      </c>
      <c r="R102" s="11">
        <f>Q102/$D$102</f>
        <v/>
      </c>
      <c r="S102" s="12">
        <f>T102-Q102</f>
        <v/>
      </c>
      <c r="T102" s="12" t="n">
        <v>57</v>
      </c>
      <c r="U102" s="13">
        <f>T102/$D$102</f>
        <v/>
      </c>
      <c r="V102" s="8" t="inlineStr"/>
    </row>
    <row r="103">
      <c r="A103" s="7" t="n">
        <v>99</v>
      </c>
      <c r="B103" s="8" t="inlineStr">
        <is>
          <t>Serenia Anira 3</t>
        </is>
      </c>
      <c r="C103" s="9" t="n">
        <v>44763</v>
      </c>
      <c r="D103" s="10" t="n">
        <v>116</v>
      </c>
      <c r="E103" s="7" t="inlineStr">
        <is>
          <t>6785-22</t>
        </is>
      </c>
      <c r="F103" s="8" t="inlineStr"/>
      <c r="G103" s="10" t="n"/>
      <c r="H103" s="10" t="n">
        <v>108</v>
      </c>
      <c r="I103" s="11">
        <f>H103/$D$103</f>
        <v/>
      </c>
      <c r="J103" s="10">
        <f>K103-H103</f>
        <v/>
      </c>
      <c r="K103" s="10" t="n">
        <v>108</v>
      </c>
      <c r="L103" s="11">
        <f>K103/$D$103</f>
        <v/>
      </c>
      <c r="M103" s="10">
        <f>N103-K103</f>
        <v/>
      </c>
      <c r="N103" s="10" t="n">
        <v>108</v>
      </c>
      <c r="O103" s="11">
        <f>N103/$D$103</f>
        <v/>
      </c>
      <c r="P103" s="10">
        <f>Q103-N103</f>
        <v/>
      </c>
      <c r="Q103" s="10" t="n">
        <v>108</v>
      </c>
      <c r="R103" s="11">
        <f>Q103/$D$103</f>
        <v/>
      </c>
      <c r="S103" s="12">
        <f>T103-Q103</f>
        <v/>
      </c>
      <c r="T103" s="12" t="n">
        <v>108</v>
      </c>
      <c r="U103" s="13">
        <f>T103/$D$103</f>
        <v/>
      </c>
      <c r="V103" s="8" t="inlineStr"/>
    </row>
    <row r="104">
      <c r="A104" s="7" t="n">
        <v>100</v>
      </c>
      <c r="B104" s="8" t="inlineStr">
        <is>
          <t>Serenia Anira 2</t>
        </is>
      </c>
      <c r="C104" s="9" t="n">
        <v>44839</v>
      </c>
      <c r="D104" s="10" t="n">
        <v>96</v>
      </c>
      <c r="E104" s="7" t="inlineStr">
        <is>
          <t>6785-23</t>
        </is>
      </c>
      <c r="F104" s="8" t="inlineStr"/>
      <c r="G104" s="10" t="n"/>
      <c r="H104" s="10" t="n">
        <v>86</v>
      </c>
      <c r="I104" s="11">
        <f>H104/$D$104</f>
        <v/>
      </c>
      <c r="J104" s="10">
        <f>K104-H104</f>
        <v/>
      </c>
      <c r="K104" s="10" t="n">
        <v>86</v>
      </c>
      <c r="L104" s="11">
        <f>K104/$D$104</f>
        <v/>
      </c>
      <c r="M104" s="10">
        <f>N104-K104</f>
        <v/>
      </c>
      <c r="N104" s="10" t="n">
        <v>86</v>
      </c>
      <c r="O104" s="11">
        <f>N104/$D$104</f>
        <v/>
      </c>
      <c r="P104" s="10">
        <f>Q104-N104</f>
        <v/>
      </c>
      <c r="Q104" s="10" t="n">
        <v>86</v>
      </c>
      <c r="R104" s="11">
        <f>Q104/$D$104</f>
        <v/>
      </c>
      <c r="S104" s="12">
        <f>T104-Q104</f>
        <v/>
      </c>
      <c r="T104" s="12" t="n">
        <v>86</v>
      </c>
      <c r="U104" s="13">
        <f>T104/$D$104</f>
        <v/>
      </c>
      <c r="V104" s="8" t="inlineStr">
        <is>
          <t>Latest sales - Block SC: 86 units</t>
        </is>
      </c>
    </row>
    <row r="105">
      <c r="A105" s="7" t="n">
        <v>101</v>
      </c>
      <c r="B105" s="8" t="inlineStr">
        <is>
          <t>Serenia Aqila</t>
        </is>
      </c>
      <c r="C105" s="9" t="n">
        <v>44851</v>
      </c>
      <c r="D105" s="10" t="n">
        <v>72</v>
      </c>
      <c r="E105" s="7" t="inlineStr">
        <is>
          <t>6785-24</t>
        </is>
      </c>
      <c r="F105" s="8" t="inlineStr"/>
      <c r="G105" s="10" t="n"/>
      <c r="H105" s="10" t="n">
        <v>53</v>
      </c>
      <c r="I105" s="11">
        <f>H105/$D$105</f>
        <v/>
      </c>
      <c r="J105" s="10">
        <f>K105-H105</f>
        <v/>
      </c>
      <c r="K105" s="10" t="n">
        <v>53</v>
      </c>
      <c r="L105" s="11">
        <f>K105/$D$105</f>
        <v/>
      </c>
      <c r="M105" s="10">
        <f>N105-K105</f>
        <v/>
      </c>
      <c r="N105" s="10" t="n">
        <v>53</v>
      </c>
      <c r="O105" s="11">
        <f>N105/$D$105</f>
        <v/>
      </c>
      <c r="P105" s="10">
        <f>Q105-N105</f>
        <v/>
      </c>
      <c r="Q105" s="10" t="n">
        <v>53</v>
      </c>
      <c r="R105" s="11">
        <f>Q105/$D$105</f>
        <v/>
      </c>
      <c r="S105" s="12">
        <f>T105-Q105</f>
        <v/>
      </c>
      <c r="T105" s="12" t="n">
        <v>53</v>
      </c>
      <c r="U105" s="13">
        <f>T105/$D$105</f>
        <v/>
      </c>
      <c r="V105" s="8" t="inlineStr"/>
    </row>
    <row r="106">
      <c r="A106" s="7" t="n">
        <v>102</v>
      </c>
      <c r="B106" s="8" t="inlineStr">
        <is>
          <t>Serenia Anisa 2</t>
        </is>
      </c>
      <c r="C106" s="9" t="n">
        <v>44956</v>
      </c>
      <c r="D106" s="10" t="n">
        <v>202</v>
      </c>
      <c r="E106" s="7" t="inlineStr">
        <is>
          <t>6785-25</t>
        </is>
      </c>
      <c r="F106" s="8" t="inlineStr"/>
      <c r="G106" s="10" t="n"/>
      <c r="H106" s="10" t="n">
        <v>191</v>
      </c>
      <c r="I106" s="11">
        <f>H106/$D$106</f>
        <v/>
      </c>
      <c r="J106" s="10">
        <f>K106-H106</f>
        <v/>
      </c>
      <c r="K106" s="10" t="n">
        <v>191</v>
      </c>
      <c r="L106" s="11">
        <f>K106/$D$106</f>
        <v/>
      </c>
      <c r="M106" s="10">
        <f>N106-K106</f>
        <v/>
      </c>
      <c r="N106" s="10" t="n">
        <v>191</v>
      </c>
      <c r="O106" s="11">
        <f>N106/$D$106</f>
        <v/>
      </c>
      <c r="P106" s="10">
        <f>Q106-N106</f>
        <v/>
      </c>
      <c r="Q106" s="10" t="n">
        <v>191</v>
      </c>
      <c r="R106" s="11">
        <f>Q106/$D$106</f>
        <v/>
      </c>
      <c r="S106" s="12">
        <f>T106-Q106</f>
        <v/>
      </c>
      <c r="T106" s="12" t="n">
        <v>191</v>
      </c>
      <c r="U106" s="13">
        <f>T106/$D$106</f>
        <v/>
      </c>
      <c r="V106" s="8" t="inlineStr"/>
    </row>
    <row r="107">
      <c r="A107" s="7" t="n">
        <v>103</v>
      </c>
      <c r="B107" s="8" t="inlineStr">
        <is>
          <t>Serenia Anisa 1</t>
        </is>
      </c>
      <c r="C107" s="9" t="n">
        <v>44974</v>
      </c>
      <c r="D107" s="10" t="n">
        <v>206</v>
      </c>
      <c r="E107" s="7" t="inlineStr">
        <is>
          <t>6785-26</t>
        </is>
      </c>
      <c r="F107" s="8" t="inlineStr"/>
      <c r="G107" s="10" t="n"/>
      <c r="H107" s="10" t="n">
        <v>203</v>
      </c>
      <c r="I107" s="11">
        <f>H107/$D$107</f>
        <v/>
      </c>
      <c r="J107" s="10">
        <f>K107-H107</f>
        <v/>
      </c>
      <c r="K107" s="10" t="n">
        <v>203</v>
      </c>
      <c r="L107" s="11">
        <f>K107/$D$107</f>
        <v/>
      </c>
      <c r="M107" s="10">
        <f>N107-K107</f>
        <v/>
      </c>
      <c r="N107" s="10" t="n">
        <v>203</v>
      </c>
      <c r="O107" s="11">
        <f>N107/$D$107</f>
        <v/>
      </c>
      <c r="P107" s="10">
        <f>Q107-N107</f>
        <v/>
      </c>
      <c r="Q107" s="10" t="n">
        <v>203</v>
      </c>
      <c r="R107" s="11">
        <f>Q107/$D$107</f>
        <v/>
      </c>
      <c r="S107" s="12">
        <f>T107-Q107</f>
        <v/>
      </c>
      <c r="T107" s="12" t="n">
        <v>203</v>
      </c>
      <c r="U107" s="13">
        <f>T107/$D$107</f>
        <v/>
      </c>
      <c r="V107" s="8" t="inlineStr"/>
    </row>
    <row r="108">
      <c r="A108" s="7" t="n">
        <v>104</v>
      </c>
      <c r="B108" s="8" t="inlineStr">
        <is>
          <t>Residensi Dian</t>
        </is>
      </c>
      <c r="C108" s="9" t="n">
        <v>45560</v>
      </c>
      <c r="D108" s="10" t="n">
        <v>480</v>
      </c>
      <c r="E108" s="7" t="inlineStr">
        <is>
          <t>597-14</t>
        </is>
      </c>
      <c r="F108" s="8" t="inlineStr">
        <is>
          <t>SIME DARBY PROPERTY (KL EAST) SDN. BHD.</t>
        </is>
      </c>
      <c r="G108" s="10" t="n"/>
      <c r="H108" s="10" t="n">
        <v>333</v>
      </c>
      <c r="I108" s="11">
        <f>H108/$D$108</f>
        <v/>
      </c>
      <c r="J108" s="10">
        <f>K108-H108</f>
        <v/>
      </c>
      <c r="K108" s="10" t="n">
        <v>333</v>
      </c>
      <c r="L108" s="11">
        <f>K108/$D$108</f>
        <v/>
      </c>
      <c r="M108" s="10">
        <f>N108-K108</f>
        <v/>
      </c>
      <c r="N108" s="10" t="n">
        <v>333</v>
      </c>
      <c r="O108" s="11">
        <f>N108/$D$108</f>
        <v/>
      </c>
      <c r="P108" s="10">
        <f>Q108-N108</f>
        <v/>
      </c>
      <c r="Q108" s="10" t="n">
        <v>332</v>
      </c>
      <c r="R108" s="11">
        <f>Q108/$D$108</f>
        <v/>
      </c>
      <c r="S108" s="12">
        <f>T108-Q108</f>
        <v/>
      </c>
      <c r="T108" s="12" t="n">
        <v>333</v>
      </c>
      <c r="U108" s="13">
        <f>T108/$D$108</f>
        <v/>
      </c>
      <c r="V108" s="8" t="inlineStr">
        <is>
          <t>Latest sales - Block A: 175 units, Block B: 158 units</t>
        </is>
      </c>
    </row>
    <row r="109">
      <c r="A109" s="7" t="n">
        <v>105</v>
      </c>
      <c r="B109" s="8" t="inlineStr">
        <is>
          <t>Residensi Vista Timur</t>
        </is>
      </c>
      <c r="C109" s="9" t="n">
        <v>46150</v>
      </c>
      <c r="D109" s="10" t="n">
        <v>61</v>
      </c>
      <c r="E109" s="7" t="inlineStr">
        <is>
          <t>597-15</t>
        </is>
      </c>
      <c r="F109" s="8" t="inlineStr">
        <is>
          <t>SIME DARBY PROPERTY (KL EAST) SDN. BHD.</t>
        </is>
      </c>
      <c r="G109" s="10" t="n"/>
      <c r="H109" s="10" t="n">
        <v>7</v>
      </c>
      <c r="I109" s="11">
        <f>H109/$D$109</f>
        <v/>
      </c>
      <c r="J109" s="10">
        <f>K109-H109</f>
        <v/>
      </c>
      <c r="K109" s="10" t="n">
        <v>10</v>
      </c>
      <c r="L109" s="11">
        <f>K109/$D$109</f>
        <v/>
      </c>
      <c r="M109" s="10">
        <f>N109-K109</f>
        <v/>
      </c>
      <c r="N109" s="10" t="n">
        <v>13</v>
      </c>
      <c r="O109" s="11">
        <f>N109/$D$109</f>
        <v/>
      </c>
      <c r="P109" s="10">
        <f>Q109-N109</f>
        <v/>
      </c>
      <c r="Q109" s="10" t="n">
        <v>13</v>
      </c>
      <c r="R109" s="11">
        <f>Q109/$D$109</f>
        <v/>
      </c>
      <c r="S109" s="12">
        <f>T109-Q109</f>
        <v/>
      </c>
      <c r="T109" s="12" t="n">
        <v>14</v>
      </c>
      <c r="U109" s="13">
        <f>T109/$D$109</f>
        <v/>
      </c>
      <c r="V109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V1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(SKS)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TriTower Residence @ Johor Bahru Sentral</t>
        </is>
      </c>
      <c r="C5" s="9" t="n">
        <v>41502</v>
      </c>
      <c r="D5" s="10" t="n">
        <v>360</v>
      </c>
      <c r="E5" s="7" t="inlineStr">
        <is>
          <t>12327-2</t>
        </is>
      </c>
      <c r="F5" s="8" t="inlineStr">
        <is>
          <t>SKS SOUTHERN SDN. BHD.</t>
        </is>
      </c>
      <c r="G5" s="10" t="n"/>
      <c r="H5" s="10" t="n">
        <v>224</v>
      </c>
      <c r="I5" s="11">
        <f>H5/$D$5</f>
        <v/>
      </c>
      <c r="J5" s="10">
        <f>K5-H5</f>
        <v/>
      </c>
      <c r="K5" s="10" t="n">
        <v>224</v>
      </c>
      <c r="L5" s="11">
        <f>K5/$D$5</f>
        <v/>
      </c>
      <c r="M5" s="10">
        <f>N5-K5</f>
        <v/>
      </c>
      <c r="N5" s="10" t="n">
        <v>224</v>
      </c>
      <c r="O5" s="11">
        <f>N5/$D$5</f>
        <v/>
      </c>
      <c r="P5" s="10">
        <f>Q5-N5</f>
        <v/>
      </c>
      <c r="Q5" s="10" t="n">
        <v>224</v>
      </c>
      <c r="R5" s="11">
        <f>Q5/$D$5</f>
        <v/>
      </c>
      <c r="S5" s="12">
        <f>T5-Q5</f>
        <v/>
      </c>
      <c r="T5" s="12" t="n">
        <v>224</v>
      </c>
      <c r="U5" s="13">
        <f>T5/$D$5</f>
        <v/>
      </c>
      <c r="V5" s="8" t="inlineStr">
        <is>
          <t>Latest sales - Block A: 113 units, Block B: 111 units</t>
        </is>
      </c>
    </row>
    <row r="6">
      <c r="A6" s="7" t="n">
        <v>2</v>
      </c>
      <c r="B6" s="8" t="inlineStr">
        <is>
          <t>M Condominium</t>
        </is>
      </c>
      <c r="C6" s="9" t="n">
        <v>41690</v>
      </c>
      <c r="D6" s="10" t="n">
        <v>944</v>
      </c>
      <c r="E6" s="7" t="inlineStr">
        <is>
          <t>12381-1</t>
        </is>
      </c>
      <c r="F6" s="8" t="inlineStr">
        <is>
          <t>SKS FOCUS SDN. BHD.</t>
        </is>
      </c>
      <c r="G6" s="10" t="n"/>
      <c r="H6" s="10" t="n">
        <v>853</v>
      </c>
      <c r="I6" s="11">
        <f>H6/$D$6</f>
        <v/>
      </c>
      <c r="J6" s="10">
        <f>K6-H6</f>
        <v/>
      </c>
      <c r="K6" s="10" t="n">
        <v>853</v>
      </c>
      <c r="L6" s="11">
        <f>K6/$D$6</f>
        <v/>
      </c>
      <c r="M6" s="10">
        <f>N6-K6</f>
        <v/>
      </c>
      <c r="N6" s="10" t="n">
        <v>853</v>
      </c>
      <c r="O6" s="11">
        <f>N6/$D$6</f>
        <v/>
      </c>
      <c r="P6" s="10">
        <f>Q6-N6</f>
        <v/>
      </c>
      <c r="Q6" s="10" t="n">
        <v>853</v>
      </c>
      <c r="R6" s="11">
        <f>Q6/$D$6</f>
        <v/>
      </c>
      <c r="S6" s="12">
        <f>T6-Q6</f>
        <v/>
      </c>
      <c r="T6" s="12" t="n">
        <v>853</v>
      </c>
      <c r="U6" s="13">
        <f>T6/$D$6</f>
        <v/>
      </c>
      <c r="V6" s="8" t="inlineStr">
        <is>
          <t>Latest sales - Block A: 231 units, Block B: 204 units, Block C: 207 units, Block D: 211 units</t>
        </is>
      </c>
    </row>
    <row r="7">
      <c r="A7" s="7" t="n">
        <v>3</v>
      </c>
      <c r="B7" s="8" t="inlineStr">
        <is>
          <t>SKS Pavillion Residences</t>
        </is>
      </c>
      <c r="C7" s="9" t="n">
        <v>41544</v>
      </c>
      <c r="D7" s="10" t="n">
        <v>598</v>
      </c>
      <c r="E7" s="7" t="inlineStr">
        <is>
          <t>13203-1</t>
        </is>
      </c>
      <c r="F7" s="8" t="inlineStr">
        <is>
          <t>SKS PAVILLION SDN. BHD.</t>
        </is>
      </c>
      <c r="G7" s="10" t="n"/>
      <c r="H7" s="10" t="n">
        <v>234</v>
      </c>
      <c r="I7" s="11">
        <f>H7/$D$7</f>
        <v/>
      </c>
      <c r="J7" s="10">
        <f>K7-H7</f>
        <v/>
      </c>
      <c r="K7" s="10" t="n">
        <v>234</v>
      </c>
      <c r="L7" s="11">
        <f>K7/$D$7</f>
        <v/>
      </c>
      <c r="M7" s="10">
        <f>N7-K7</f>
        <v/>
      </c>
      <c r="N7" s="10" t="n">
        <v>234</v>
      </c>
      <c r="O7" s="11">
        <f>N7/$D$7</f>
        <v/>
      </c>
      <c r="P7" s="10">
        <f>Q7-N7</f>
        <v/>
      </c>
      <c r="Q7" s="10" t="n">
        <v>234</v>
      </c>
      <c r="R7" s="11">
        <f>Q7/$D$7</f>
        <v/>
      </c>
      <c r="S7" s="12">
        <f>T7-Q7</f>
        <v/>
      </c>
      <c r="T7" s="12" t="n">
        <v>234</v>
      </c>
      <c r="U7" s="13">
        <f>T7/$D$7</f>
        <v/>
      </c>
      <c r="V7" s="8" t="inlineStr"/>
    </row>
    <row r="8">
      <c r="A8" s="7" t="n">
        <v>4</v>
      </c>
      <c r="B8" s="8" t="inlineStr">
        <is>
          <t>SKS Habitat</t>
        </is>
      </c>
      <c r="C8" s="9" t="n">
        <v>42999</v>
      </c>
      <c r="D8" s="10" t="n">
        <v>646</v>
      </c>
      <c r="E8" s="7" t="inlineStr">
        <is>
          <t>12381-2</t>
        </is>
      </c>
      <c r="F8" s="8" t="inlineStr">
        <is>
          <t>SKS FOCUS SDN. BHD.</t>
        </is>
      </c>
      <c r="G8" s="10" t="n"/>
      <c r="H8" s="10" t="n">
        <v>445</v>
      </c>
      <c r="I8" s="11">
        <f>H8/$D$8</f>
        <v/>
      </c>
      <c r="J8" s="10">
        <f>K8-H8</f>
        <v/>
      </c>
      <c r="K8" s="10" t="n">
        <v>445</v>
      </c>
      <c r="L8" s="11">
        <f>K8/$D$8</f>
        <v/>
      </c>
      <c r="M8" s="10">
        <f>N8-K8</f>
        <v/>
      </c>
      <c r="N8" s="10" t="n">
        <v>445</v>
      </c>
      <c r="O8" s="11">
        <f>N8/$D$8</f>
        <v/>
      </c>
      <c r="P8" s="10">
        <f>Q8-N8</f>
        <v/>
      </c>
      <c r="Q8" s="10" t="n">
        <v>445</v>
      </c>
      <c r="R8" s="11">
        <f>Q8/$D$8</f>
        <v/>
      </c>
      <c r="S8" s="12">
        <f>T8-Q8</f>
        <v/>
      </c>
      <c r="T8" s="12" t="n">
        <v>445</v>
      </c>
      <c r="U8" s="13">
        <f>T8/$D$8</f>
        <v/>
      </c>
      <c r="V8" s="8" t="inlineStr">
        <is>
          <t>Latest sales - Block A: 229 units, Block B: 216 units</t>
        </is>
      </c>
    </row>
    <row r="9">
      <c r="A9" s="7" t="n">
        <v>5</v>
      </c>
      <c r="B9" s="8" t="inlineStr">
        <is>
          <t>Twin Tower Residence</t>
        </is>
      </c>
      <c r="C9" s="9" t="n">
        <v>43714</v>
      </c>
      <c r="D9" s="10" t="n">
        <v>458</v>
      </c>
      <c r="E9" s="7" t="inlineStr">
        <is>
          <t>19757-1</t>
        </is>
      </c>
      <c r="F9" s="8" t="inlineStr">
        <is>
          <t>PARASKY PROJECTS SDN. BHD.</t>
        </is>
      </c>
      <c r="G9" s="10" t="n"/>
      <c r="H9" s="10" t="n">
        <v>375</v>
      </c>
      <c r="I9" s="11">
        <f>H9/$D$9</f>
        <v/>
      </c>
      <c r="J9" s="10">
        <f>K9-H9</f>
        <v/>
      </c>
      <c r="K9" s="10" t="n">
        <v>375</v>
      </c>
      <c r="L9" s="11">
        <f>K9/$D$9</f>
        <v/>
      </c>
      <c r="M9" s="10">
        <f>N9-K9</f>
        <v/>
      </c>
      <c r="N9" s="10" t="n">
        <v>375</v>
      </c>
      <c r="O9" s="11">
        <f>N9/$D$9</f>
        <v/>
      </c>
      <c r="P9" s="10">
        <f>Q9-N9</f>
        <v/>
      </c>
      <c r="Q9" s="10" t="n">
        <v>375</v>
      </c>
      <c r="R9" s="11">
        <f>Q9/$D$9</f>
        <v/>
      </c>
      <c r="S9" s="12">
        <f>T9-Q9</f>
        <v/>
      </c>
      <c r="T9" s="12" t="n">
        <v>375</v>
      </c>
      <c r="U9" s="13">
        <f>T9/$D$9</f>
        <v/>
      </c>
      <c r="V9" s="8" t="inlineStr">
        <is>
          <t>Latest sales - Block L: 375 units</t>
        </is>
      </c>
    </row>
    <row r="10">
      <c r="A10" s="7" t="n">
        <v>6</v>
      </c>
      <c r="B10" s="8" t="inlineStr">
        <is>
          <t>Sky Habitat</t>
        </is>
      </c>
      <c r="C10" s="9" t="n">
        <v>41898</v>
      </c>
      <c r="D10" s="10" t="n">
        <v>184</v>
      </c>
      <c r="E10" s="7" t="inlineStr">
        <is>
          <t>12327-4</t>
        </is>
      </c>
      <c r="F10" s="8" t="inlineStr">
        <is>
          <t>SKS SOUTHERN SDN. BHD.</t>
        </is>
      </c>
      <c r="G10" s="10" t="n"/>
      <c r="H10" s="10" t="n">
        <v>175</v>
      </c>
      <c r="I10" s="11">
        <f>H10/$D$10</f>
        <v/>
      </c>
      <c r="J10" s="10">
        <f>K10-H10</f>
        <v/>
      </c>
      <c r="K10" s="10" t="n">
        <v>175</v>
      </c>
      <c r="L10" s="11">
        <f>K10/$D$10</f>
        <v/>
      </c>
      <c r="M10" s="10">
        <f>N10-K10</f>
        <v/>
      </c>
      <c r="N10" s="10" t="n">
        <v>175</v>
      </c>
      <c r="O10" s="11">
        <f>N10/$D$10</f>
        <v/>
      </c>
      <c r="P10" s="10">
        <f>Q10-N10</f>
        <v/>
      </c>
      <c r="Q10" s="10" t="n">
        <v>175</v>
      </c>
      <c r="R10" s="11">
        <f>Q10/$D$10</f>
        <v/>
      </c>
      <c r="S10" s="12">
        <f>T10-Q10</f>
        <v/>
      </c>
      <c r="T10" s="12" t="n">
        <v>175</v>
      </c>
      <c r="U10" s="13">
        <f>T10/$D$10</f>
        <v/>
      </c>
      <c r="V10" s="8" t="inlineStr">
        <is>
          <t>Latest sales - Block A: 1 units, Block L: 174 units</t>
        </is>
      </c>
    </row>
    <row r="11">
      <c r="A11" s="7" t="n">
        <v>7</v>
      </c>
      <c r="B11" s="8" t="inlineStr">
        <is>
          <t>Pandan Residence I</t>
        </is>
      </c>
      <c r="C11" s="9" t="n">
        <v>41626</v>
      </c>
      <c r="D11" s="10" t="n">
        <v>283</v>
      </c>
      <c r="E11" s="7" t="inlineStr">
        <is>
          <t>12327-1</t>
        </is>
      </c>
      <c r="F11" s="8" t="inlineStr">
        <is>
          <t>SKS SOUTHERN SDN. BHD.</t>
        </is>
      </c>
      <c r="G11" s="10" t="n"/>
      <c r="H11" s="10" t="n">
        <v>282</v>
      </c>
      <c r="I11" s="11">
        <f>H11/$D$11</f>
        <v/>
      </c>
      <c r="J11" s="10">
        <f>K11-H11</f>
        <v/>
      </c>
      <c r="K11" s="10" t="n">
        <v>282</v>
      </c>
      <c r="L11" s="11">
        <f>K11/$D$11</f>
        <v/>
      </c>
      <c r="M11" s="10">
        <f>N11-K11</f>
        <v/>
      </c>
      <c r="N11" s="10" t="n">
        <v>282</v>
      </c>
      <c r="O11" s="11">
        <f>N11/$D$11</f>
        <v/>
      </c>
      <c r="P11" s="10">
        <f>Q11-N11</f>
        <v/>
      </c>
      <c r="Q11" s="10" t="n">
        <v>282</v>
      </c>
      <c r="R11" s="11">
        <f>Q11/$D$11</f>
        <v/>
      </c>
      <c r="S11" s="12">
        <f>T11-Q11</f>
        <v/>
      </c>
      <c r="T11" s="12" t="n">
        <v>282</v>
      </c>
      <c r="U11" s="13">
        <f>T11/$D$11</f>
        <v/>
      </c>
      <c r="V11" s="8" t="inlineStr">
        <is>
          <t>Latest sales - Block R1: 282 units</t>
        </is>
      </c>
    </row>
    <row r="12">
      <c r="A12" s="7" t="n">
        <v>8</v>
      </c>
      <c r="B12" s="8" t="inlineStr">
        <is>
          <t>Pandan Residence II</t>
        </is>
      </c>
      <c r="C12" s="9" t="n">
        <v>41514</v>
      </c>
      <c r="D12" s="10" t="n">
        <v>182</v>
      </c>
      <c r="E12" s="7" t="inlineStr">
        <is>
          <t>12327-3</t>
        </is>
      </c>
      <c r="F12" s="8" t="inlineStr">
        <is>
          <t>SKS SOUTHERN SDN. BHD.</t>
        </is>
      </c>
      <c r="G12" s="10" t="n"/>
      <c r="H12" s="10" t="n">
        <v>180</v>
      </c>
      <c r="I12" s="11">
        <f>H12/$D$12</f>
        <v/>
      </c>
      <c r="J12" s="10">
        <f>K12-H12</f>
        <v/>
      </c>
      <c r="K12" s="10" t="n">
        <v>180</v>
      </c>
      <c r="L12" s="11">
        <f>K12/$D$12</f>
        <v/>
      </c>
      <c r="M12" s="10">
        <f>N12-K12</f>
        <v/>
      </c>
      <c r="N12" s="10" t="n">
        <v>180</v>
      </c>
      <c r="O12" s="11">
        <f>N12/$D$12</f>
        <v/>
      </c>
      <c r="P12" s="10">
        <f>Q12-N12</f>
        <v/>
      </c>
      <c r="Q12" s="10" t="n">
        <v>180</v>
      </c>
      <c r="R12" s="11">
        <f>Q12/$D$12</f>
        <v/>
      </c>
      <c r="S12" s="12">
        <f>T12-Q12</f>
        <v/>
      </c>
      <c r="T12" s="12" t="n">
        <v>180</v>
      </c>
      <c r="U12" s="13">
        <f>T12/$D$12</f>
        <v/>
      </c>
      <c r="V12" s="8" t="inlineStr">
        <is>
          <t>Latest sales - Block A: 92 units, Block B: 87 units</t>
        </is>
      </c>
    </row>
    <row r="13">
      <c r="A13" s="7" t="n">
        <v>9</v>
      </c>
      <c r="B13" s="8" t="inlineStr">
        <is>
          <t>Escadia + Arcadia (Taman Desaru Utama)</t>
        </is>
      </c>
      <c r="C13" s="9" t="n">
        <v>41984</v>
      </c>
      <c r="D13" s="10" t="n">
        <v>507</v>
      </c>
      <c r="E13" s="7" t="inlineStr">
        <is>
          <t>11786-2</t>
        </is>
      </c>
      <c r="F13" s="8" t="inlineStr">
        <is>
          <t>CONTINENTAL MANAGEMENT SDN. BHD.</t>
        </is>
      </c>
      <c r="G13" s="10" t="n"/>
      <c r="H13" s="10" t="n">
        <v>492</v>
      </c>
      <c r="I13" s="11">
        <f>H13/$D$13</f>
        <v/>
      </c>
      <c r="J13" s="10">
        <f>K13-H13</f>
        <v/>
      </c>
      <c r="K13" s="10" t="n">
        <v>492</v>
      </c>
      <c r="L13" s="11">
        <f>K13/$D$13</f>
        <v/>
      </c>
      <c r="M13" s="10">
        <f>N13-K13</f>
        <v/>
      </c>
      <c r="N13" s="10" t="n">
        <v>492</v>
      </c>
      <c r="O13" s="11">
        <f>N13/$D$13</f>
        <v/>
      </c>
      <c r="P13" s="10">
        <f>Q13-N13</f>
        <v/>
      </c>
      <c r="Q13" s="10" t="n">
        <v>492</v>
      </c>
      <c r="R13" s="11">
        <f>Q13/$D$13</f>
        <v/>
      </c>
      <c r="S13" s="12">
        <f>T13-Q13</f>
        <v/>
      </c>
      <c r="T13" s="12" t="n">
        <v>492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Marinea (Taman Desaru Utama)</t>
        </is>
      </c>
      <c r="C14" s="9" t="n">
        <v>41704</v>
      </c>
      <c r="D14" s="10" t="n">
        <v>306</v>
      </c>
      <c r="E14" s="7" t="inlineStr">
        <is>
          <t>9736-4</t>
        </is>
      </c>
      <c r="F14" s="8" t="inlineStr">
        <is>
          <t>TNC CONSOLIDATED SDN. BHD.</t>
        </is>
      </c>
      <c r="G14" s="10" t="n"/>
      <c r="H14" s="10" t="n">
        <v>288</v>
      </c>
      <c r="I14" s="11">
        <f>H14/$D$14</f>
        <v/>
      </c>
      <c r="J14" s="10">
        <f>K14-H14</f>
        <v/>
      </c>
      <c r="K14" s="10" t="n">
        <v>288</v>
      </c>
      <c r="L14" s="11">
        <f>K14/$D$14</f>
        <v/>
      </c>
      <c r="M14" s="10">
        <f>N14-K14</f>
        <v/>
      </c>
      <c r="N14" s="10" t="n">
        <v>288</v>
      </c>
      <c r="O14" s="11">
        <f>N14/$D$14</f>
        <v/>
      </c>
      <c r="P14" s="10">
        <f>Q14-N14</f>
        <v/>
      </c>
      <c r="Q14" s="10" t="n">
        <v>288</v>
      </c>
      <c r="R14" s="11">
        <f>Q14/$D$14</f>
        <v/>
      </c>
      <c r="S14" s="12">
        <f>T14-Q14</f>
        <v/>
      </c>
      <c r="T14" s="12" t="n">
        <v>288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Desaru Utama SSTH</t>
        </is>
      </c>
      <c r="C15" s="9" t="n">
        <v>40869</v>
      </c>
      <c r="D15" s="10" t="n">
        <v>985</v>
      </c>
      <c r="E15" s="7" t="inlineStr">
        <is>
          <t>11786-1</t>
        </is>
      </c>
      <c r="F15" s="8" t="inlineStr">
        <is>
          <t>CONTINENTAL MANAGEMENT SDN. BHD.</t>
        </is>
      </c>
      <c r="G15" s="10" t="n"/>
      <c r="H15" s="10" t="n">
        <v>938</v>
      </c>
      <c r="I15" s="11">
        <f>H15/$D$15</f>
        <v/>
      </c>
      <c r="J15" s="10">
        <f>K15-H15</f>
        <v/>
      </c>
      <c r="K15" s="10" t="n">
        <v>938</v>
      </c>
      <c r="L15" s="11">
        <f>K15/$D$15</f>
        <v/>
      </c>
      <c r="M15" s="10">
        <f>N15-K15</f>
        <v/>
      </c>
      <c r="N15" s="10" t="n">
        <v>938</v>
      </c>
      <c r="O15" s="11">
        <f>N15/$D$15</f>
        <v/>
      </c>
      <c r="P15" s="10">
        <f>Q15-N15</f>
        <v/>
      </c>
      <c r="Q15" s="10" t="n">
        <v>938</v>
      </c>
      <c r="R15" s="11">
        <f>Q15/$D$15</f>
        <v/>
      </c>
      <c r="S15" s="12">
        <f>T15-Q15</f>
        <v/>
      </c>
      <c r="T15" s="12" t="n">
        <v>938</v>
      </c>
      <c r="U15" s="13">
        <f>T15/$D$15</f>
        <v/>
      </c>
      <c r="V15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(SKYWORLD)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SkyAwani PRIMA Residences</t>
        </is>
      </c>
      <c r="C5" s="9" t="n">
        <v>45860</v>
      </c>
      <c r="D5" s="10" t="n">
        <v>492</v>
      </c>
      <c r="E5" s="7" t="inlineStr">
        <is>
          <t>31051-1</t>
        </is>
      </c>
      <c r="F5" s="8" t="inlineStr"/>
      <c r="G5" s="10" t="n"/>
      <c r="H5" s="10" t="n">
        <v>457</v>
      </c>
      <c r="I5" s="11">
        <f>H5/$D$5</f>
        <v/>
      </c>
      <c r="J5" s="10">
        <f>K5-H5</f>
        <v/>
      </c>
      <c r="K5" s="10" t="n">
        <v>457</v>
      </c>
      <c r="L5" s="11">
        <f>K5/$D$5</f>
        <v/>
      </c>
      <c r="M5" s="10">
        <f>N5-K5</f>
        <v/>
      </c>
      <c r="N5" s="10" t="n">
        <v>458</v>
      </c>
      <c r="O5" s="11">
        <f>N5/$D$5</f>
        <v/>
      </c>
      <c r="P5" s="10">
        <f>Q5-N5</f>
        <v/>
      </c>
      <c r="Q5" s="10" t="n">
        <v>458</v>
      </c>
      <c r="R5" s="11">
        <f>Q5/$D$5</f>
        <v/>
      </c>
      <c r="S5" s="10">
        <f>T5-Q5</f>
        <v/>
      </c>
      <c r="T5" s="10" t="n">
        <v>458</v>
      </c>
      <c r="U5" s="11">
        <f>T5/$D$5</f>
        <v/>
      </c>
      <c r="V5" s="12">
        <f>W5-T5</f>
        <v/>
      </c>
      <c r="W5" s="12" t="n">
        <v>459</v>
      </c>
      <c r="X5" s="13">
        <f>W5/$D$5</f>
        <v/>
      </c>
      <c r="Y5" s="8" t="inlineStr"/>
    </row>
    <row r="6">
      <c r="A6" s="7" t="n">
        <v>2</v>
      </c>
      <c r="B6" s="8" t="inlineStr">
        <is>
          <t>Curvo Residences</t>
        </is>
      </c>
      <c r="C6" s="9" t="n">
        <v>44937</v>
      </c>
      <c r="D6" s="10" t="n">
        <v>830</v>
      </c>
      <c r="E6" s="7" t="inlineStr">
        <is>
          <t>30176-1</t>
        </is>
      </c>
      <c r="F6" s="8" t="inlineStr"/>
      <c r="G6" s="10" t="n"/>
      <c r="H6" s="10" t="n">
        <v>656</v>
      </c>
      <c r="I6" s="11">
        <f>H6/$D$6</f>
        <v/>
      </c>
      <c r="J6" s="10">
        <f>K6-H6</f>
        <v/>
      </c>
      <c r="K6" s="10" t="n">
        <v>656</v>
      </c>
      <c r="L6" s="11">
        <f>K6/$D$6</f>
        <v/>
      </c>
      <c r="M6" s="10">
        <f>N6-K6</f>
        <v/>
      </c>
      <c r="N6" s="10" t="n">
        <v>656</v>
      </c>
      <c r="O6" s="11">
        <f>N6/$D$6</f>
        <v/>
      </c>
      <c r="P6" s="10">
        <f>Q6-N6</f>
        <v/>
      </c>
      <c r="Q6" s="10" t="n">
        <v>656</v>
      </c>
      <c r="R6" s="11">
        <f>Q6/$D$6</f>
        <v/>
      </c>
      <c r="S6" s="10">
        <f>T6-Q6</f>
        <v/>
      </c>
      <c r="T6" s="10" t="n">
        <v>656</v>
      </c>
      <c r="U6" s="11">
        <f>T6/$D$6</f>
        <v/>
      </c>
      <c r="V6" s="12">
        <f>W6-T6</f>
        <v/>
      </c>
      <c r="W6" s="12" t="n">
        <v>656</v>
      </c>
      <c r="X6" s="13">
        <f>W6/$D$6</f>
        <v/>
      </c>
      <c r="Y6" s="8" t="inlineStr">
        <is>
          <t>Latest sales - Block A: 429 units, Block B: 227 units</t>
        </is>
      </c>
    </row>
    <row r="7">
      <c r="A7" s="7" t="n">
        <v>3</v>
      </c>
      <c r="B7" s="8" t="inlineStr">
        <is>
          <t>SkyAman 1 Residences</t>
        </is>
      </c>
      <c r="C7" s="9" t="n">
        <v>45819</v>
      </c>
      <c r="D7" s="10" t="n">
        <v>510</v>
      </c>
      <c r="E7" s="7" t="inlineStr">
        <is>
          <t>30976-1</t>
        </is>
      </c>
      <c r="F7" s="8" t="inlineStr"/>
      <c r="G7" s="10" t="n"/>
      <c r="H7" s="10" t="n">
        <v>241</v>
      </c>
      <c r="I7" s="11">
        <f>H7/$D$7</f>
        <v/>
      </c>
      <c r="J7" s="10">
        <f>K7-H7</f>
        <v/>
      </c>
      <c r="K7" s="10" t="n">
        <v>243</v>
      </c>
      <c r="L7" s="11">
        <f>K7/$D$7</f>
        <v/>
      </c>
      <c r="M7" s="10">
        <f>N7-K7</f>
        <v/>
      </c>
      <c r="N7" s="10" t="n">
        <v>248</v>
      </c>
      <c r="O7" s="11">
        <f>N7/$D$7</f>
        <v/>
      </c>
      <c r="P7" s="10">
        <f>Q7-N7</f>
        <v/>
      </c>
      <c r="Q7" s="10" t="n">
        <v>252</v>
      </c>
      <c r="R7" s="11">
        <f>Q7/$D$7</f>
        <v/>
      </c>
      <c r="S7" s="10">
        <f>T7-Q7</f>
        <v/>
      </c>
      <c r="T7" s="10" t="n">
        <v>257</v>
      </c>
      <c r="U7" s="11">
        <f>T7/$D$7</f>
        <v/>
      </c>
      <c r="V7" s="12">
        <f>W7-T7</f>
        <v/>
      </c>
      <c r="W7" s="12" t="n">
        <v>257</v>
      </c>
      <c r="X7" s="13">
        <f>W7/$D$7</f>
        <v/>
      </c>
      <c r="Y7" s="8" t="inlineStr">
        <is>
          <t>Latest sales - Block A: 257 units</t>
        </is>
      </c>
    </row>
    <row r="8">
      <c r="A8" s="7" t="n">
        <v>4</v>
      </c>
      <c r="B8" s="8" t="inlineStr">
        <is>
          <t>SkyWorld Pearlmont</t>
        </is>
      </c>
      <c r="C8" s="9" t="n">
        <v>45855</v>
      </c>
      <c r="D8" s="10" t="n">
        <v>3982</v>
      </c>
      <c r="E8" s="7" t="inlineStr">
        <is>
          <t>31075-1,31075-2</t>
        </is>
      </c>
      <c r="F8" s="8" t="inlineStr"/>
      <c r="G8" s="10" t="n"/>
      <c r="H8" s="10" t="n">
        <v>1351</v>
      </c>
      <c r="I8" s="11">
        <f>H8/$D$8</f>
        <v/>
      </c>
      <c r="J8" s="10">
        <f>K8-H8</f>
        <v/>
      </c>
      <c r="K8" s="10" t="n">
        <v>1370</v>
      </c>
      <c r="L8" s="11">
        <f>K8/$D$8</f>
        <v/>
      </c>
      <c r="M8" s="10">
        <f>N8-K8</f>
        <v/>
      </c>
      <c r="N8" s="10" t="n">
        <v>1388</v>
      </c>
      <c r="O8" s="11">
        <f>N8/$D$8</f>
        <v/>
      </c>
      <c r="P8" s="10">
        <f>Q8-N8</f>
        <v/>
      </c>
      <c r="Q8" s="10" t="n">
        <v>1403</v>
      </c>
      <c r="R8" s="11">
        <f>Q8/$D$8</f>
        <v/>
      </c>
      <c r="S8" s="10">
        <f>T8-Q8</f>
        <v/>
      </c>
      <c r="T8" s="10" t="n">
        <v>1415</v>
      </c>
      <c r="U8" s="11">
        <f>T8/$D$8</f>
        <v/>
      </c>
      <c r="V8" s="12">
        <f>W8-T8</f>
        <v/>
      </c>
      <c r="W8" s="12" t="n">
        <v>1423</v>
      </c>
      <c r="X8" s="13">
        <f>W8/$D$8</f>
        <v/>
      </c>
      <c r="Y8" s="8" t="inlineStr">
        <is>
          <t>Latest sales - Block 1B: 572 units, Block 1C: 534 units, Block 1D: 317 units</t>
        </is>
      </c>
    </row>
    <row r="9">
      <c r="A9" s="7" t="n">
        <v>5</v>
      </c>
      <c r="B9" s="8" t="inlineStr">
        <is>
          <t>Vesta Residences</t>
        </is>
      </c>
      <c r="C9" s="9" t="n">
        <v>45124</v>
      </c>
      <c r="D9" s="10" t="n">
        <v>1001</v>
      </c>
      <c r="E9" s="7" t="inlineStr">
        <is>
          <t>19840-2</t>
        </is>
      </c>
      <c r="F9" s="8" t="inlineStr"/>
      <c r="G9" s="10" t="n"/>
      <c r="H9" s="10" t="n">
        <v>932</v>
      </c>
      <c r="I9" s="11">
        <f>H9/$D$9</f>
        <v/>
      </c>
      <c r="J9" s="10">
        <f>K9-H9</f>
        <v/>
      </c>
      <c r="K9" s="10" t="n">
        <v>933</v>
      </c>
      <c r="L9" s="11">
        <f>K9/$D$9</f>
        <v/>
      </c>
      <c r="M9" s="10">
        <f>N9-K9</f>
        <v/>
      </c>
      <c r="N9" s="10" t="n">
        <v>933</v>
      </c>
      <c r="O9" s="11">
        <f>N9/$D$9</f>
        <v/>
      </c>
      <c r="P9" s="10">
        <f>Q9-N9</f>
        <v/>
      </c>
      <c r="Q9" s="10" t="n">
        <v>934</v>
      </c>
      <c r="R9" s="11">
        <f>Q9/$D$9</f>
        <v/>
      </c>
      <c r="S9" s="10">
        <f>T9-Q9</f>
        <v/>
      </c>
      <c r="T9" s="10" t="n">
        <v>936</v>
      </c>
      <c r="U9" s="11">
        <f>T9/$D$9</f>
        <v/>
      </c>
      <c r="V9" s="12">
        <f>W9-T9</f>
        <v/>
      </c>
      <c r="W9" s="12" t="n">
        <v>937</v>
      </c>
      <c r="X9" s="13">
        <f>W9/$D$9</f>
        <v/>
      </c>
      <c r="Y9" s="8" t="inlineStr">
        <is>
          <t>Latest sales - Block A: 472 units, Block B: 465 units</t>
        </is>
      </c>
    </row>
    <row r="10">
      <c r="A10" s="7" t="n">
        <v>6</v>
      </c>
      <c r="B10" s="8" t="inlineStr">
        <is>
          <t>Skyawani Cassia Residences 1</t>
        </is>
      </c>
      <c r="C10" s="9" t="n">
        <v>46198</v>
      </c>
      <c r="D10" s="10" t="n">
        <v>3600</v>
      </c>
      <c r="E10" s="7" t="inlineStr">
        <is>
          <t>31282-1</t>
        </is>
      </c>
      <c r="F10" s="8" t="inlineStr">
        <is>
          <t>SKYWORLD CASSIA DEVELOPMENT SDN. BHD.</t>
        </is>
      </c>
      <c r="G10" s="10" t="n"/>
      <c r="H10" s="10" t="n"/>
      <c r="I10" s="11" t="n"/>
      <c r="J10" s="10" t="n"/>
      <c r="K10" s="10" t="n"/>
      <c r="L10" s="11" t="n"/>
      <c r="M10" s="10" t="n"/>
      <c r="N10" s="10" t="n">
        <v>0</v>
      </c>
      <c r="O10" s="11">
        <f>N10/$D$10</f>
        <v/>
      </c>
      <c r="P10" s="10">
        <f>Q10-N10</f>
        <v/>
      </c>
      <c r="Q10" s="10" t="n">
        <v>0</v>
      </c>
      <c r="R10" s="11">
        <f>Q10/$D$10</f>
        <v/>
      </c>
      <c r="S10" s="10">
        <f>T10-Q10</f>
        <v/>
      </c>
      <c r="T10" s="10" t="n">
        <v>0</v>
      </c>
      <c r="U10" s="11">
        <f>T10/$D$10</f>
        <v/>
      </c>
      <c r="V10" s="12">
        <f>W10-T10</f>
        <v/>
      </c>
      <c r="W10" s="12" t="n">
        <v>0</v>
      </c>
      <c r="X10" s="13">
        <f>W10/$D$10</f>
        <v/>
      </c>
      <c r="Y10" s="8" t="inlineStr"/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V122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(SP SETIA)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Temasya Prisma</t>
        </is>
      </c>
      <c r="C5" s="9" t="n">
        <v>44851</v>
      </c>
      <c r="D5" s="10" t="n">
        <v>216</v>
      </c>
      <c r="E5" s="7" t="inlineStr">
        <is>
          <t>10530-12</t>
        </is>
      </c>
      <c r="F5" s="8" t="inlineStr">
        <is>
          <t>TEMASYA DEVELOPMENT CO. SDN. BHD.</t>
        </is>
      </c>
      <c r="G5" s="10" t="n"/>
      <c r="H5" s="10" t="n">
        <v>97</v>
      </c>
      <c r="I5" s="11">
        <f>H5/$D$5</f>
        <v/>
      </c>
      <c r="J5" s="10">
        <f>K5-H5</f>
        <v/>
      </c>
      <c r="K5" s="10" t="n">
        <v>97</v>
      </c>
      <c r="L5" s="11">
        <f>K5/$D$5</f>
        <v/>
      </c>
      <c r="M5" s="10">
        <f>N5-K5</f>
        <v/>
      </c>
      <c r="N5" s="10" t="n">
        <v>98</v>
      </c>
      <c r="O5" s="11">
        <f>N5/$D$5</f>
        <v/>
      </c>
      <c r="P5" s="10">
        <f>Q5-N5</f>
        <v/>
      </c>
      <c r="Q5" s="10" t="n">
        <v>98</v>
      </c>
      <c r="R5" s="11">
        <f>Q5/$D$5</f>
        <v/>
      </c>
      <c r="S5" s="12">
        <f>T5-Q5</f>
        <v/>
      </c>
      <c r="T5" s="12" t="n">
        <v>98</v>
      </c>
      <c r="U5" s="13">
        <f>T5/$D$5</f>
        <v/>
      </c>
      <c r="V5" s="8" t="inlineStr"/>
    </row>
    <row r="6">
      <c r="A6" s="7" t="n">
        <v>2</v>
      </c>
      <c r="B6" s="8" t="inlineStr">
        <is>
          <t>Laman Setia @ Setia Eco Gardens</t>
        </is>
      </c>
      <c r="C6" s="9" t="n">
        <v>45191</v>
      </c>
      <c r="D6" s="10" t="n">
        <v>131</v>
      </c>
      <c r="E6" s="7" t="inlineStr">
        <is>
          <t>10611-24</t>
        </is>
      </c>
      <c r="F6" s="8" t="inlineStr">
        <is>
          <t>KESAS KENANGAN SDN. BHD.</t>
        </is>
      </c>
      <c r="G6" s="10" t="n"/>
      <c r="H6" s="10" t="n">
        <v>109</v>
      </c>
      <c r="I6" s="11">
        <f>H6/$D$6</f>
        <v/>
      </c>
      <c r="J6" s="10">
        <f>K6-H6</f>
        <v/>
      </c>
      <c r="K6" s="10" t="n">
        <v>111</v>
      </c>
      <c r="L6" s="11">
        <f>K6/$D$6</f>
        <v/>
      </c>
      <c r="M6" s="10">
        <f>N6-K6</f>
        <v/>
      </c>
      <c r="N6" s="10" t="n">
        <v>112</v>
      </c>
      <c r="O6" s="11">
        <f>N6/$D$6</f>
        <v/>
      </c>
      <c r="P6" s="10">
        <f>Q6-N6</f>
        <v/>
      </c>
      <c r="Q6" s="10" t="n">
        <v>112</v>
      </c>
      <c r="R6" s="11">
        <f>Q6/$D$6</f>
        <v/>
      </c>
      <c r="S6" s="12">
        <f>T6-Q6</f>
        <v/>
      </c>
      <c r="T6" s="12" t="n">
        <v>113</v>
      </c>
      <c r="U6" s="13">
        <f>T6/$D$6</f>
        <v/>
      </c>
      <c r="V6" s="8" t="inlineStr"/>
    </row>
    <row r="7">
      <c r="A7" s="7" t="n">
        <v>3</v>
      </c>
      <c r="B7" s="8" t="inlineStr">
        <is>
          <t>Laman Jentayu @ Setia Eco Gardens</t>
        </is>
      </c>
      <c r="C7" s="9" t="n">
        <v>45468</v>
      </c>
      <c r="D7" s="10" t="n">
        <v>46</v>
      </c>
      <c r="E7" s="7" t="inlineStr">
        <is>
          <t>10611-25</t>
        </is>
      </c>
      <c r="F7" s="8" t="inlineStr">
        <is>
          <t>KESAS KENANGAN SDN. BHD.</t>
        </is>
      </c>
      <c r="G7" s="10" t="n"/>
      <c r="H7" s="10" t="n">
        <v>37</v>
      </c>
      <c r="I7" s="11">
        <f>H7/$D$7</f>
        <v/>
      </c>
      <c r="J7" s="10">
        <f>K7-H7</f>
        <v/>
      </c>
      <c r="K7" s="10" t="n">
        <v>37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37</v>
      </c>
      <c r="R7" s="11">
        <f>Q7/$D$7</f>
        <v/>
      </c>
      <c r="S7" s="12">
        <f>T7-Q7</f>
        <v/>
      </c>
      <c r="T7" s="12" t="n">
        <v>37</v>
      </c>
      <c r="U7" s="13">
        <f>T7/$D$7</f>
        <v/>
      </c>
      <c r="V7" s="8" t="inlineStr"/>
    </row>
    <row r="8">
      <c r="A8" s="7" t="n">
        <v>4</v>
      </c>
      <c r="B8" s="8" t="inlineStr">
        <is>
          <t>Laman Setia @ Setia Eco Gardens</t>
        </is>
      </c>
      <c r="C8" s="9" t="n">
        <v>45574</v>
      </c>
      <c r="D8" s="10" t="n">
        <v>111</v>
      </c>
      <c r="E8" s="7" t="inlineStr">
        <is>
          <t>10611-26</t>
        </is>
      </c>
      <c r="F8" s="8" t="inlineStr">
        <is>
          <t>KESAS KENANGAN SDN. BHD.</t>
        </is>
      </c>
      <c r="G8" s="10" t="n"/>
      <c r="H8" s="10" t="n">
        <v>92</v>
      </c>
      <c r="I8" s="11">
        <f>H8/$D$8</f>
        <v/>
      </c>
      <c r="J8" s="10">
        <f>K8-H8</f>
        <v/>
      </c>
      <c r="K8" s="10" t="n">
        <v>93</v>
      </c>
      <c r="L8" s="11">
        <f>K8/$D$8</f>
        <v/>
      </c>
      <c r="M8" s="10">
        <f>N8-K8</f>
        <v/>
      </c>
      <c r="N8" s="10" t="n">
        <v>94</v>
      </c>
      <c r="O8" s="11">
        <f>N8/$D$8</f>
        <v/>
      </c>
      <c r="P8" s="10">
        <f>Q8-N8</f>
        <v/>
      </c>
      <c r="Q8" s="10" t="n">
        <v>94</v>
      </c>
      <c r="R8" s="11">
        <f>Q8/$D$8</f>
        <v/>
      </c>
      <c r="S8" s="12">
        <f>T8-Q8</f>
        <v/>
      </c>
      <c r="T8" s="12" t="n">
        <v>95</v>
      </c>
      <c r="U8" s="13">
        <f>T8/$D$8</f>
        <v/>
      </c>
      <c r="V8" s="8" t="inlineStr"/>
    </row>
    <row r="9">
      <c r="A9" s="7" t="n">
        <v>5</v>
      </c>
      <c r="B9" s="8" t="inlineStr">
        <is>
          <t>Eugenia 1</t>
        </is>
      </c>
      <c r="C9" s="9" t="n">
        <v>46036</v>
      </c>
      <c r="D9" s="10" t="n">
        <v>32</v>
      </c>
      <c r="E9" s="7" t="inlineStr">
        <is>
          <t>10611-27</t>
        </is>
      </c>
      <c r="F9" s="8" t="inlineStr">
        <is>
          <t>KESAS KENANGAN SDN. BHD.</t>
        </is>
      </c>
      <c r="G9" s="10" t="n"/>
      <c r="H9" s="10" t="n">
        <v>4</v>
      </c>
      <c r="I9" s="11">
        <f>H9/$D$9</f>
        <v/>
      </c>
      <c r="J9" s="10">
        <f>K9-H9</f>
        <v/>
      </c>
      <c r="K9" s="10" t="n">
        <v>5</v>
      </c>
      <c r="L9" s="11">
        <f>K9/$D$9</f>
        <v/>
      </c>
      <c r="M9" s="10">
        <f>N9-K9</f>
        <v/>
      </c>
      <c r="N9" s="10" t="n">
        <v>5</v>
      </c>
      <c r="O9" s="11">
        <f>N9/$D$9</f>
        <v/>
      </c>
      <c r="P9" s="10">
        <f>Q9-N9</f>
        <v/>
      </c>
      <c r="Q9" s="10" t="n">
        <v>7</v>
      </c>
      <c r="R9" s="11">
        <f>Q9/$D$9</f>
        <v/>
      </c>
      <c r="S9" s="12">
        <f>T9-Q9</f>
        <v/>
      </c>
      <c r="T9" s="12" t="n">
        <v>7</v>
      </c>
      <c r="U9" s="13">
        <f>T9/$D$9</f>
        <v/>
      </c>
      <c r="V9" s="8" t="inlineStr"/>
    </row>
    <row r="10">
      <c r="A10" s="7" t="n">
        <v>6</v>
      </c>
      <c r="B10" s="8" t="inlineStr">
        <is>
          <t>Carissa 1 @ Setia Eco Gardens</t>
        </is>
      </c>
      <c r="C10" s="9" t="n">
        <v>46058</v>
      </c>
      <c r="D10" s="10" t="n">
        <v>89</v>
      </c>
      <c r="E10" s="7" t="inlineStr">
        <is>
          <t>10611-28</t>
        </is>
      </c>
      <c r="F10" s="8" t="inlineStr">
        <is>
          <t>KESAS KENANGAN SDN. BHD.</t>
        </is>
      </c>
      <c r="G10" s="10" t="n"/>
      <c r="H10" s="10" t="n">
        <v>9</v>
      </c>
      <c r="I10" s="11">
        <f>H10/$D$10</f>
        <v/>
      </c>
      <c r="J10" s="10">
        <f>K10-H10</f>
        <v/>
      </c>
      <c r="K10" s="10" t="n">
        <v>9</v>
      </c>
      <c r="L10" s="11">
        <f>K10/$D$10</f>
        <v/>
      </c>
      <c r="M10" s="10">
        <f>N10-K10</f>
        <v/>
      </c>
      <c r="N10" s="10" t="n">
        <v>9</v>
      </c>
      <c r="O10" s="11">
        <f>N10/$D$10</f>
        <v/>
      </c>
      <c r="P10" s="10">
        <f>Q10-N10</f>
        <v/>
      </c>
      <c r="Q10" s="10" t="n">
        <v>9</v>
      </c>
      <c r="R10" s="11">
        <f>Q10/$D$10</f>
        <v/>
      </c>
      <c r="S10" s="12">
        <f>T10-Q10</f>
        <v/>
      </c>
      <c r="T10" s="12" t="n">
        <v>9</v>
      </c>
      <c r="U10" s="13">
        <f>T10/$D$10</f>
        <v/>
      </c>
      <c r="V10" s="8" t="inlineStr"/>
    </row>
    <row r="11">
      <c r="A11" s="7" t="n">
        <v>7</v>
      </c>
      <c r="B11" s="8" t="inlineStr">
        <is>
          <t>Laman Setia @ Setia Eco Gardens</t>
        </is>
      </c>
      <c r="C11" s="9" t="n">
        <v>46231</v>
      </c>
      <c r="D11" s="10" t="n">
        <v>22</v>
      </c>
      <c r="E11" s="7" t="inlineStr">
        <is>
          <t>10611-29</t>
        </is>
      </c>
      <c r="F11" s="8" t="inlineStr">
        <is>
          <t>KESAS KENANGAN SDN. BHD.</t>
        </is>
      </c>
      <c r="G11" s="10" t="n"/>
      <c r="H11" s="10" t="n">
        <v>0</v>
      </c>
      <c r="I11" s="11">
        <f>H11/$D$11</f>
        <v/>
      </c>
      <c r="J11" s="10">
        <f>K11-H11</f>
        <v/>
      </c>
      <c r="K11" s="10" t="n">
        <v>0</v>
      </c>
      <c r="L11" s="11">
        <f>K11/$D$11</f>
        <v/>
      </c>
      <c r="M11" s="10">
        <f>N11-K11</f>
        <v/>
      </c>
      <c r="N11" s="10" t="n">
        <v>0</v>
      </c>
      <c r="O11" s="11">
        <f>N11/$D$11</f>
        <v/>
      </c>
      <c r="P11" s="10">
        <f>Q11-N11</f>
        <v/>
      </c>
      <c r="Q11" s="10" t="n">
        <v>0</v>
      </c>
      <c r="R11" s="11">
        <f>Q11/$D$11</f>
        <v/>
      </c>
      <c r="S11" s="12">
        <f>T11-Q11</f>
        <v/>
      </c>
      <c r="T11" s="12" t="n">
        <v>0</v>
      </c>
      <c r="U11" s="13">
        <f>T11/$D$11</f>
        <v/>
      </c>
      <c r="V11" s="8" t="inlineStr"/>
    </row>
    <row r="12">
      <c r="A12" s="7" t="n">
        <v>8</v>
      </c>
      <c r="B12" s="8" t="inlineStr">
        <is>
          <t>Casa Rica</t>
        </is>
      </c>
      <c r="C12" s="9" t="n">
        <v>44876</v>
      </c>
      <c r="D12" s="10" t="n">
        <v>22</v>
      </c>
      <c r="E12" s="7" t="inlineStr">
        <is>
          <t>11461-7</t>
        </is>
      </c>
      <c r="F12" s="8" t="inlineStr">
        <is>
          <t>KEWIRA JAYA SDN. BHD.</t>
        </is>
      </c>
      <c r="G12" s="10" t="n"/>
      <c r="H12" s="10" t="n">
        <v>15</v>
      </c>
      <c r="I12" s="11">
        <f>H12/$D$12</f>
        <v/>
      </c>
      <c r="J12" s="10">
        <f>K12-H12</f>
        <v/>
      </c>
      <c r="K12" s="10" t="n">
        <v>15</v>
      </c>
      <c r="L12" s="11">
        <f>K12/$D$12</f>
        <v/>
      </c>
      <c r="M12" s="10">
        <f>N12-K12</f>
        <v/>
      </c>
      <c r="N12" s="10" t="n">
        <v>15</v>
      </c>
      <c r="O12" s="11">
        <f>N12/$D$12</f>
        <v/>
      </c>
      <c r="P12" s="10">
        <f>Q12-N12</f>
        <v/>
      </c>
      <c r="Q12" s="10" t="n">
        <v>15</v>
      </c>
      <c r="R12" s="11">
        <f>Q12/$D$12</f>
        <v/>
      </c>
      <c r="S12" s="12">
        <f>T12-Q12</f>
        <v/>
      </c>
      <c r="T12" s="12" t="n">
        <v>15</v>
      </c>
      <c r="U12" s="13">
        <f>T12/$D$12</f>
        <v/>
      </c>
      <c r="V12" s="8" t="inlineStr"/>
    </row>
    <row r="13">
      <c r="A13" s="7" t="n">
        <v>9</v>
      </c>
      <c r="B13" s="8" t="inlineStr">
        <is>
          <t>Setia SV2</t>
        </is>
      </c>
      <c r="C13" s="9" t="n">
        <v>45954</v>
      </c>
      <c r="D13" s="10" t="n">
        <v>268</v>
      </c>
      <c r="E13" s="7" t="inlineStr">
        <is>
          <t>11978-4</t>
        </is>
      </c>
      <c r="F13" s="8" t="inlineStr">
        <is>
          <t>KAY PRIDE SDN. BHD.</t>
        </is>
      </c>
      <c r="G13" s="10" t="n"/>
      <c r="H13" s="10" t="n">
        <v>20</v>
      </c>
      <c r="I13" s="11">
        <f>H13/$D$13</f>
        <v/>
      </c>
      <c r="J13" s="10">
        <f>K13-H13</f>
        <v/>
      </c>
      <c r="K13" s="10" t="n">
        <v>20</v>
      </c>
      <c r="L13" s="11">
        <f>K13/$D$13</f>
        <v/>
      </c>
      <c r="M13" s="10">
        <f>N13-K13</f>
        <v/>
      </c>
      <c r="N13" s="10" t="n">
        <v>20</v>
      </c>
      <c r="O13" s="11">
        <f>N13/$D$13</f>
        <v/>
      </c>
      <c r="P13" s="10">
        <f>Q13-N13</f>
        <v/>
      </c>
      <c r="Q13" s="10" t="n">
        <v>20</v>
      </c>
      <c r="R13" s="11">
        <f>Q13/$D$13</f>
        <v/>
      </c>
      <c r="S13" s="12">
        <f>T13-Q13</f>
        <v/>
      </c>
      <c r="T13" s="12" t="n">
        <v>20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Setia EcoHill township</t>
        </is>
      </c>
      <c r="C14" s="9" t="n">
        <v>45195</v>
      </c>
      <c r="D14" s="10" t="n">
        <v>40</v>
      </c>
      <c r="E14" s="7" t="inlineStr">
        <is>
          <t>13243-26</t>
        </is>
      </c>
      <c r="F14" s="8" t="inlineStr">
        <is>
          <t>SETIA ECOHILL SDN. BHD.</t>
        </is>
      </c>
      <c r="G14" s="10" t="n"/>
      <c r="H14" s="10" t="n">
        <v>25</v>
      </c>
      <c r="I14" s="11">
        <f>H14/$D$14</f>
        <v/>
      </c>
      <c r="J14" s="10">
        <f>K14-H14</f>
        <v/>
      </c>
      <c r="K14" s="10" t="n">
        <v>25</v>
      </c>
      <c r="L14" s="11">
        <f>K14/$D$14</f>
        <v/>
      </c>
      <c r="M14" s="10">
        <f>N14-K14</f>
        <v/>
      </c>
      <c r="N14" s="10" t="n">
        <v>25</v>
      </c>
      <c r="O14" s="11">
        <f>N14/$D$14</f>
        <v/>
      </c>
      <c r="P14" s="10">
        <f>Q14-N14</f>
        <v/>
      </c>
      <c r="Q14" s="10" t="n">
        <v>25</v>
      </c>
      <c r="R14" s="11">
        <f>Q14/$D$14</f>
        <v/>
      </c>
      <c r="S14" s="12">
        <f>T14-Q14</f>
        <v/>
      </c>
      <c r="T14" s="12" t="n">
        <v>25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Queensville @ Setia EcoHill</t>
        </is>
      </c>
      <c r="C15" s="9" t="n">
        <v>45884</v>
      </c>
      <c r="D15" s="10" t="n">
        <v>37</v>
      </c>
      <c r="E15" s="7" t="inlineStr">
        <is>
          <t>13243-28</t>
        </is>
      </c>
      <c r="F15" s="8" t="inlineStr">
        <is>
          <t>SETIA ECOHILL SDN. BHD.</t>
        </is>
      </c>
      <c r="G15" s="10" t="n"/>
      <c r="H15" s="10" t="n">
        <v>5</v>
      </c>
      <c r="I15" s="11">
        <f>H15/$D$15</f>
        <v/>
      </c>
      <c r="J15" s="10">
        <f>K15-H15</f>
        <v/>
      </c>
      <c r="K15" s="10" t="n">
        <v>5</v>
      </c>
      <c r="L15" s="11">
        <f>K15/$D$15</f>
        <v/>
      </c>
      <c r="M15" s="10">
        <f>N15-K15</f>
        <v/>
      </c>
      <c r="N15" s="10" t="n">
        <v>6</v>
      </c>
      <c r="O15" s="11">
        <f>N15/$D$15</f>
        <v/>
      </c>
      <c r="P15" s="10">
        <f>Q15-N15</f>
        <v/>
      </c>
      <c r="Q15" s="10" t="n">
        <v>6</v>
      </c>
      <c r="R15" s="11">
        <f>Q15/$D$15</f>
        <v/>
      </c>
      <c r="S15" s="12">
        <f>T15-Q15</f>
        <v/>
      </c>
      <c r="T15" s="12" t="n">
        <v>6</v>
      </c>
      <c r="U15" s="13">
        <f>T15/$D$15</f>
        <v/>
      </c>
      <c r="V15" s="8" t="inlineStr"/>
    </row>
    <row r="16">
      <c r="A16" s="7" t="n">
        <v>12</v>
      </c>
      <c r="B16" s="8" t="inlineStr">
        <is>
          <t>Setia Eco Templer collections (Regent/Refine/Robinson)</t>
        </is>
      </c>
      <c r="C16" s="9" t="n">
        <v>44977</v>
      </c>
      <c r="D16" s="10" t="n">
        <v>70</v>
      </c>
      <c r="E16" s="7" t="inlineStr">
        <is>
          <t>14331-6</t>
        </is>
      </c>
      <c r="F16" s="8" t="inlineStr">
        <is>
          <t>SETIA ECO TEMPLER SDN. BHD.</t>
        </is>
      </c>
      <c r="G16" s="10" t="n"/>
      <c r="H16" s="10" t="n">
        <v>57</v>
      </c>
      <c r="I16" s="11">
        <f>H16/$D$16</f>
        <v/>
      </c>
      <c r="J16" s="10">
        <f>K16-H16</f>
        <v/>
      </c>
      <c r="K16" s="10" t="n">
        <v>57</v>
      </c>
      <c r="L16" s="11">
        <f>K16/$D$16</f>
        <v/>
      </c>
      <c r="M16" s="10">
        <f>N16-K16</f>
        <v/>
      </c>
      <c r="N16" s="10" t="n">
        <v>57</v>
      </c>
      <c r="O16" s="11">
        <f>N16/$D$16</f>
        <v/>
      </c>
      <c r="P16" s="10">
        <f>Q16-N16</f>
        <v/>
      </c>
      <c r="Q16" s="10" t="n">
        <v>57</v>
      </c>
      <c r="R16" s="11">
        <f>Q16/$D$16</f>
        <v/>
      </c>
      <c r="S16" s="12">
        <f>T16-Q16</f>
        <v/>
      </c>
      <c r="T16" s="12" t="n">
        <v>57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Setia Eco Templer Phase 1B</t>
        </is>
      </c>
      <c r="C17" s="9" t="n">
        <v>45344</v>
      </c>
      <c r="D17" s="10" t="n">
        <v>388</v>
      </c>
      <c r="E17" s="7" t="inlineStr">
        <is>
          <t>14331-7</t>
        </is>
      </c>
      <c r="F17" s="8" t="inlineStr">
        <is>
          <t>SETIA ECO TEMPLER SDN. BHD.</t>
        </is>
      </c>
      <c r="G17" s="10" t="n"/>
      <c r="H17" s="10" t="n">
        <v>378</v>
      </c>
      <c r="I17" s="11">
        <f>H17/$D$17</f>
        <v/>
      </c>
      <c r="J17" s="10">
        <f>K17-H17</f>
        <v/>
      </c>
      <c r="K17" s="10" t="n">
        <v>382</v>
      </c>
      <c r="L17" s="11">
        <f>K17/$D$17</f>
        <v/>
      </c>
      <c r="M17" s="10">
        <f>N17-K17</f>
        <v/>
      </c>
      <c r="N17" s="10" t="n">
        <v>382</v>
      </c>
      <c r="O17" s="11">
        <f>N17/$D$17</f>
        <v/>
      </c>
      <c r="P17" s="10">
        <f>Q17-N17</f>
        <v/>
      </c>
      <c r="Q17" s="10" t="n">
        <v>383</v>
      </c>
      <c r="R17" s="11">
        <f>Q17/$D$17</f>
        <v/>
      </c>
      <c r="S17" s="12">
        <f>T17-Q17</f>
        <v/>
      </c>
      <c r="T17" s="12" t="n">
        <v>383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Richmond Gate @ Setia Eco Templer</t>
        </is>
      </c>
      <c r="C18" s="9" t="n">
        <v>46085</v>
      </c>
      <c r="D18" s="10" t="n">
        <v>70</v>
      </c>
      <c r="E18" s="7" t="inlineStr">
        <is>
          <t>14331-8</t>
        </is>
      </c>
      <c r="F18" s="8" t="inlineStr">
        <is>
          <t>SETIA ECO TEMPLER SDN. BHD.</t>
        </is>
      </c>
      <c r="G18" s="10" t="n"/>
      <c r="H18" s="10" t="n">
        <v>1</v>
      </c>
      <c r="I18" s="11">
        <f>H18/$D$18</f>
        <v/>
      </c>
      <c r="J18" s="10">
        <f>K18-H18</f>
        <v/>
      </c>
      <c r="K18" s="10" t="n">
        <v>1</v>
      </c>
      <c r="L18" s="11">
        <f>K18/$D$18</f>
        <v/>
      </c>
      <c r="M18" s="10">
        <f>N18-K18</f>
        <v/>
      </c>
      <c r="N18" s="10" t="n">
        <v>1</v>
      </c>
      <c r="O18" s="11">
        <f>N18/$D$18</f>
        <v/>
      </c>
      <c r="P18" s="10">
        <f>Q18-N18</f>
        <v/>
      </c>
      <c r="Q18" s="10" t="n">
        <v>2</v>
      </c>
      <c r="R18" s="11">
        <f>Q18/$D$18</f>
        <v/>
      </c>
      <c r="S18" s="12">
        <f>T18-Q18</f>
        <v/>
      </c>
      <c r="T18" s="12" t="n">
        <v>2</v>
      </c>
      <c r="U18" s="13">
        <f>T18/$D$18</f>
        <v/>
      </c>
      <c r="V18" s="8" t="inlineStr"/>
    </row>
    <row r="19">
      <c r="A19" s="7" t="n">
        <v>15</v>
      </c>
      <c r="B19" s="8" t="inlineStr">
        <is>
          <t>Setia EcoHill 2</t>
        </is>
      </c>
      <c r="C19" s="9" t="n">
        <v>45183</v>
      </c>
      <c r="D19" s="10" t="n">
        <v>113</v>
      </c>
      <c r="E19" s="7" t="inlineStr">
        <is>
          <t>14421-22</t>
        </is>
      </c>
      <c r="F19" s="8" t="inlineStr">
        <is>
          <t>SETIA ECOHILL 2 SDN. BHD.</t>
        </is>
      </c>
      <c r="G19" s="10" t="n"/>
      <c r="H19" s="10" t="n">
        <v>71</v>
      </c>
      <c r="I19" s="11">
        <f>H19/$D$19</f>
        <v/>
      </c>
      <c r="J19" s="10">
        <f>K19-H19</f>
        <v/>
      </c>
      <c r="K19" s="10" t="n">
        <v>71</v>
      </c>
      <c r="L19" s="11">
        <f>K19/$D$19</f>
        <v/>
      </c>
      <c r="M19" s="10">
        <f>N19-K19</f>
        <v/>
      </c>
      <c r="N19" s="10" t="n">
        <v>71</v>
      </c>
      <c r="O19" s="11">
        <f>N19/$D$19</f>
        <v/>
      </c>
      <c r="P19" s="10">
        <f>Q19-N19</f>
        <v/>
      </c>
      <c r="Q19" s="10" t="n">
        <v>71</v>
      </c>
      <c r="R19" s="11">
        <f>Q19/$D$19</f>
        <v/>
      </c>
      <c r="S19" s="12">
        <f>T19-Q19</f>
        <v/>
      </c>
      <c r="T19" s="12" t="n">
        <v>71</v>
      </c>
      <c r="U19" s="13">
        <f>T19/$D$19</f>
        <v/>
      </c>
      <c r="V19" s="8" t="inlineStr"/>
    </row>
    <row r="20">
      <c r="A20" s="7" t="n">
        <v>16</v>
      </c>
      <c r="B20" s="8" t="inlineStr">
        <is>
          <t>Precinct Arundina @ Setia Eco Park</t>
        </is>
      </c>
      <c r="C20" s="9" t="n">
        <v>45447</v>
      </c>
      <c r="D20" s="10" t="n">
        <v>12</v>
      </c>
      <c r="E20" s="7" t="inlineStr">
        <is>
          <t>19700-5</t>
        </is>
      </c>
      <c r="F20" s="8" t="inlineStr">
        <is>
          <t>S P SETIA ECO-PROJECTS MANAGEMENT SDN. BHD.</t>
        </is>
      </c>
      <c r="G20" s="10" t="n"/>
      <c r="H20" s="10" t="n">
        <v>8</v>
      </c>
      <c r="I20" s="11">
        <f>H20/$D$20</f>
        <v/>
      </c>
      <c r="J20" s="10">
        <f>K20-H20</f>
        <v/>
      </c>
      <c r="K20" s="10" t="n">
        <v>8</v>
      </c>
      <c r="L20" s="11">
        <f>K20/$D$20</f>
        <v/>
      </c>
      <c r="M20" s="10">
        <f>N20-K20</f>
        <v/>
      </c>
      <c r="N20" s="10" t="n">
        <v>8</v>
      </c>
      <c r="O20" s="11">
        <f>N20/$D$20</f>
        <v/>
      </c>
      <c r="P20" s="10">
        <f>Q20-N20</f>
        <v/>
      </c>
      <c r="Q20" s="10" t="n">
        <v>8</v>
      </c>
      <c r="R20" s="11">
        <f>Q20/$D$20</f>
        <v/>
      </c>
      <c r="S20" s="12">
        <f>T20-Q20</f>
        <v/>
      </c>
      <c r="T20" s="12" t="n">
        <v>8</v>
      </c>
      <c r="U20" s="13">
        <f>T20/$D$20</f>
        <v/>
      </c>
      <c r="V20" s="8" t="inlineStr"/>
    </row>
    <row r="21">
      <c r="A21" s="7" t="n">
        <v>17</v>
      </c>
      <c r="B21" s="8" t="inlineStr">
        <is>
          <t>Precinct Arundina @ Setia Eco Park</t>
        </is>
      </c>
      <c r="C21" s="9" t="n">
        <v>45770</v>
      </c>
      <c r="D21" s="10" t="n">
        <v>74</v>
      </c>
      <c r="E21" s="7" t="inlineStr">
        <is>
          <t>19700-6</t>
        </is>
      </c>
      <c r="F21" s="8" t="inlineStr">
        <is>
          <t>S P SETIA ECO-PROJECTS MANAGEMENT SDN. BHD.</t>
        </is>
      </c>
      <c r="G21" s="10" t="n"/>
      <c r="H21" s="10" t="n">
        <v>26</v>
      </c>
      <c r="I21" s="11">
        <f>H21/$D$21</f>
        <v/>
      </c>
      <c r="J21" s="10">
        <f>K21-H21</f>
        <v/>
      </c>
      <c r="K21" s="10" t="n">
        <v>26</v>
      </c>
      <c r="L21" s="11">
        <f>K21/$D$21</f>
        <v/>
      </c>
      <c r="M21" s="10">
        <f>N21-K21</f>
        <v/>
      </c>
      <c r="N21" s="10" t="n">
        <v>26</v>
      </c>
      <c r="O21" s="11">
        <f>N21/$D$21</f>
        <v/>
      </c>
      <c r="P21" s="10">
        <f>Q21-N21</f>
        <v/>
      </c>
      <c r="Q21" s="10" t="n">
        <v>26</v>
      </c>
      <c r="R21" s="11">
        <f>Q21/$D$21</f>
        <v/>
      </c>
      <c r="S21" s="12">
        <f>T21-Q21</f>
        <v/>
      </c>
      <c r="T21" s="12" t="n">
        <v>26</v>
      </c>
      <c r="U21" s="13">
        <f>T21/$D$21</f>
        <v/>
      </c>
      <c r="V21" s="8" t="inlineStr"/>
    </row>
    <row r="22">
      <c r="A22" s="7" t="n">
        <v>18</v>
      </c>
      <c r="B22" s="8" t="inlineStr">
        <is>
          <t>Setia Fontaines</t>
        </is>
      </c>
      <c r="C22" s="9" t="n">
        <v>46191</v>
      </c>
      <c r="D22" s="10" t="n">
        <v>108</v>
      </c>
      <c r="E22" s="7" t="inlineStr">
        <is>
          <t>19732-10</t>
        </is>
      </c>
      <c r="F22" s="8" t="inlineStr">
        <is>
          <t>SETIA FONTAINES SDN. BHD.</t>
        </is>
      </c>
      <c r="G22" s="10" t="n"/>
      <c r="H22" s="10" t="n">
        <v>0</v>
      </c>
      <c r="I22" s="11">
        <f>H22/$D$22</f>
        <v/>
      </c>
      <c r="J22" s="10">
        <f>K22-H22</f>
        <v/>
      </c>
      <c r="K22" s="10" t="n">
        <v>0</v>
      </c>
      <c r="L22" s="11">
        <f>K22/$D$22</f>
        <v/>
      </c>
      <c r="M22" s="10">
        <f>N22-K22</f>
        <v/>
      </c>
      <c r="N22" s="10" t="n">
        <v>0</v>
      </c>
      <c r="O22" s="11">
        <f>N22/$D$22</f>
        <v/>
      </c>
      <c r="P22" s="10">
        <f>Q22-N22</f>
        <v/>
      </c>
      <c r="Q22" s="10" t="n">
        <v>0</v>
      </c>
      <c r="R22" s="11">
        <f>Q22/$D$22</f>
        <v/>
      </c>
      <c r="S22" s="12">
        <f>T22-Q22</f>
        <v/>
      </c>
      <c r="T22" s="12" t="n">
        <v>0</v>
      </c>
      <c r="U22" s="13">
        <f>T22/$D$22</f>
        <v/>
      </c>
      <c r="V22" s="8" t="inlineStr"/>
    </row>
    <row r="23">
      <c r="A23" s="7" t="n">
        <v>19</v>
      </c>
      <c r="B23" s="8" t="inlineStr">
        <is>
          <t>Amansara North @ Setia Fontaines</t>
        </is>
      </c>
      <c r="C23" s="9" t="n">
        <v>45002</v>
      </c>
      <c r="D23" s="10" t="n">
        <v>127</v>
      </c>
      <c r="E23" s="7" t="inlineStr">
        <is>
          <t>19732-6</t>
        </is>
      </c>
      <c r="F23" s="8" t="inlineStr">
        <is>
          <t>SETIA FONTAINES SDN. BHD.</t>
        </is>
      </c>
      <c r="G23" s="10" t="n"/>
      <c r="H23" s="10" t="n">
        <v>49</v>
      </c>
      <c r="I23" s="11">
        <f>H23/$D$23</f>
        <v/>
      </c>
      <c r="J23" s="10">
        <f>K23-H23</f>
        <v/>
      </c>
      <c r="K23" s="10" t="n">
        <v>49</v>
      </c>
      <c r="L23" s="11">
        <f>K23/$D$23</f>
        <v/>
      </c>
      <c r="M23" s="10">
        <f>N23-K23</f>
        <v/>
      </c>
      <c r="N23" s="10" t="n">
        <v>49</v>
      </c>
      <c r="O23" s="11">
        <f>N23/$D$23</f>
        <v/>
      </c>
      <c r="P23" s="10">
        <f>Q23-N23</f>
        <v/>
      </c>
      <c r="Q23" s="10" t="n">
        <v>49</v>
      </c>
      <c r="R23" s="11">
        <f>Q23/$D$23</f>
        <v/>
      </c>
      <c r="S23" s="12">
        <f>T23-Q23</f>
        <v/>
      </c>
      <c r="T23" s="12" t="n">
        <v>49</v>
      </c>
      <c r="U23" s="13">
        <f>T23/$D$23</f>
        <v/>
      </c>
      <c r="V23" s="8" t="inlineStr"/>
    </row>
    <row r="24">
      <c r="A24" s="7" t="n">
        <v>20</v>
      </c>
      <c r="B24" s="8" t="inlineStr">
        <is>
          <t>Setia Suria Phase 1 @ Setia Fontaines</t>
        </is>
      </c>
      <c r="C24" s="9" t="n">
        <v>45631</v>
      </c>
      <c r="D24" s="10" t="n">
        <v>154</v>
      </c>
      <c r="E24" s="7" t="inlineStr">
        <is>
          <t>19732-7</t>
        </is>
      </c>
      <c r="F24" s="8" t="inlineStr">
        <is>
          <t>SETIA FONTAINES SDN. BHD.</t>
        </is>
      </c>
      <c r="G24" s="10" t="n"/>
      <c r="H24" s="10" t="n">
        <v>94</v>
      </c>
      <c r="I24" s="11">
        <f>H24/$D$24</f>
        <v/>
      </c>
      <c r="J24" s="10">
        <f>K24-H24</f>
        <v/>
      </c>
      <c r="K24" s="10" t="n">
        <v>94</v>
      </c>
      <c r="L24" s="11">
        <f>K24/$D$24</f>
        <v/>
      </c>
      <c r="M24" s="10">
        <f>N24-K24</f>
        <v/>
      </c>
      <c r="N24" s="10" t="n">
        <v>94</v>
      </c>
      <c r="O24" s="11">
        <f>N24/$D$24</f>
        <v/>
      </c>
      <c r="P24" s="10">
        <f>Q24-N24</f>
        <v/>
      </c>
      <c r="Q24" s="10" t="n">
        <v>94</v>
      </c>
      <c r="R24" s="11">
        <f>Q24/$D$24</f>
        <v/>
      </c>
      <c r="S24" s="12">
        <f>T24-Q24</f>
        <v/>
      </c>
      <c r="T24" s="12" t="n">
        <v>94</v>
      </c>
      <c r="U24" s="13">
        <f>T24/$D$24</f>
        <v/>
      </c>
      <c r="V24" s="8" t="inlineStr"/>
    </row>
    <row r="25">
      <c r="A25" s="7" t="n">
        <v>21</v>
      </c>
      <c r="B25" s="8" t="inlineStr">
        <is>
          <t>Setia Suria Phase 2 @ Setia Fontaines</t>
        </is>
      </c>
      <c r="C25" s="9" t="n">
        <v>45631</v>
      </c>
      <c r="D25" s="10" t="n">
        <v>179</v>
      </c>
      <c r="E25" s="7" t="inlineStr">
        <is>
          <t>19732-8</t>
        </is>
      </c>
      <c r="F25" s="8" t="inlineStr">
        <is>
          <t>SETIA FONTAINES SDN. BHD.</t>
        </is>
      </c>
      <c r="G25" s="10" t="n"/>
      <c r="H25" s="10" t="n">
        <v>0</v>
      </c>
      <c r="I25" s="11">
        <f>H25/$D$25</f>
        <v/>
      </c>
      <c r="J25" s="10">
        <f>K25-H25</f>
        <v/>
      </c>
      <c r="K25" s="10" t="n">
        <v>0</v>
      </c>
      <c r="L25" s="11">
        <f>K25/$D$25</f>
        <v/>
      </c>
      <c r="M25" s="10">
        <f>N25-K25</f>
        <v/>
      </c>
      <c r="N25" s="10" t="n">
        <v>0</v>
      </c>
      <c r="O25" s="11">
        <f>N25/$D$25</f>
        <v/>
      </c>
      <c r="P25" s="10">
        <f>Q25-N25</f>
        <v/>
      </c>
      <c r="Q25" s="10" t="n">
        <v>0</v>
      </c>
      <c r="R25" s="11">
        <f>Q25/$D$25</f>
        <v/>
      </c>
      <c r="S25" s="12">
        <f>T25-Q25</f>
        <v/>
      </c>
      <c r="T25" s="12" t="n">
        <v>0</v>
      </c>
      <c r="U25" s="13">
        <f>T25/$D$25</f>
        <v/>
      </c>
      <c r="V25" s="8" t="inlineStr"/>
    </row>
    <row r="26">
      <c r="A26" s="7" t="n">
        <v>22</v>
      </c>
      <c r="B26" s="8" t="inlineStr">
        <is>
          <t>Setia Fontaines apartment component</t>
        </is>
      </c>
      <c r="C26" s="9" t="n">
        <v>46099</v>
      </c>
      <c r="D26" s="10" t="n">
        <v>640</v>
      </c>
      <c r="E26" s="7" t="inlineStr">
        <is>
          <t>19732-9</t>
        </is>
      </c>
      <c r="F26" s="8" t="inlineStr">
        <is>
          <t>SETIA FONTAINES SDN. BHD.</t>
        </is>
      </c>
      <c r="G26" s="10" t="n"/>
      <c r="H26" s="10" t="n">
        <v>640</v>
      </c>
      <c r="I26" s="11">
        <f>H26/$D$26</f>
        <v/>
      </c>
      <c r="J26" s="10">
        <f>K26-H26</f>
        <v/>
      </c>
      <c r="K26" s="10" t="n">
        <v>640</v>
      </c>
      <c r="L26" s="11">
        <f>K26/$D$26</f>
        <v/>
      </c>
      <c r="M26" s="10">
        <f>N26-K26</f>
        <v/>
      </c>
      <c r="N26" s="10" t="n">
        <v>640</v>
      </c>
      <c r="O26" s="11">
        <f>N26/$D$26</f>
        <v/>
      </c>
      <c r="P26" s="10">
        <f>Q26-N26</f>
        <v/>
      </c>
      <c r="Q26" s="10" t="n">
        <v>640</v>
      </c>
      <c r="R26" s="11">
        <f>Q26/$D$26</f>
        <v/>
      </c>
      <c r="S26" s="12">
        <f>T26-Q26</f>
        <v/>
      </c>
      <c r="T26" s="12" t="n">
        <v>640</v>
      </c>
      <c r="U26" s="13">
        <f>T26/$D$26</f>
        <v/>
      </c>
      <c r="V26" s="8" t="inlineStr">
        <is>
          <t>Latest sales - Block A: 200 units, Block B: 200 units, Block C: 240 units</t>
        </is>
      </c>
    </row>
    <row r="27">
      <c r="A27" s="7" t="n">
        <v>23</v>
      </c>
      <c r="B27" s="8" t="inlineStr">
        <is>
          <t>Setia Mayuri</t>
        </is>
      </c>
      <c r="C27" s="9" t="n">
        <v>46042</v>
      </c>
      <c r="D27" s="10" t="n">
        <v>54</v>
      </c>
      <c r="E27" s="7" t="inlineStr">
        <is>
          <t>19740-7</t>
        </is>
      </c>
      <c r="F27" s="8" t="inlineStr">
        <is>
          <t>SETIA MAYURI SDN. BHD.</t>
        </is>
      </c>
      <c r="G27" s="10" t="n"/>
      <c r="H27" s="10" t="n">
        <v>1</v>
      </c>
      <c r="I27" s="11">
        <f>H27/$D$27</f>
        <v/>
      </c>
      <c r="J27" s="10">
        <f>K27-H27</f>
        <v/>
      </c>
      <c r="K27" s="10" t="n">
        <v>1</v>
      </c>
      <c r="L27" s="11">
        <f>K27/$D$27</f>
        <v/>
      </c>
      <c r="M27" s="10">
        <f>N27-K27</f>
        <v/>
      </c>
      <c r="N27" s="10" t="n">
        <v>1</v>
      </c>
      <c r="O27" s="11">
        <f>N27/$D$27</f>
        <v/>
      </c>
      <c r="P27" s="10">
        <f>Q27-N27</f>
        <v/>
      </c>
      <c r="Q27" s="10" t="n">
        <v>1</v>
      </c>
      <c r="R27" s="11">
        <f>Q27/$D$27</f>
        <v/>
      </c>
      <c r="S27" s="12">
        <f>T27-Q27</f>
        <v/>
      </c>
      <c r="T27" s="12" t="n">
        <v>1</v>
      </c>
      <c r="U27" s="13">
        <f>T27/$D$27</f>
        <v/>
      </c>
      <c r="V27" s="8" t="inlineStr"/>
    </row>
    <row r="28">
      <c r="A28" s="7" t="n">
        <v>24</v>
      </c>
      <c r="B28" s="8" t="inlineStr">
        <is>
          <t>Taman Rinting</t>
        </is>
      </c>
      <c r="C28" s="9" t="n">
        <v>45314</v>
      </c>
      <c r="D28" s="10" t="n">
        <v>48</v>
      </c>
      <c r="E28" s="7" t="inlineStr">
        <is>
          <t>2387-21</t>
        </is>
      </c>
      <c r="F28" s="8" t="inlineStr">
        <is>
          <t>TAMAN GUNONG HIJAU SDN. BHD.</t>
        </is>
      </c>
      <c r="G28" s="10" t="n"/>
      <c r="H28" s="10" t="n">
        <v>40</v>
      </c>
      <c r="I28" s="11">
        <f>H28/$D$28</f>
        <v/>
      </c>
      <c r="J28" s="10">
        <f>K28-H28</f>
        <v/>
      </c>
      <c r="K28" s="10" t="n">
        <v>40</v>
      </c>
      <c r="L28" s="11">
        <f>K28/$D$28</f>
        <v/>
      </c>
      <c r="M28" s="10">
        <f>N28-K28</f>
        <v/>
      </c>
      <c r="N28" s="10" t="n">
        <v>40</v>
      </c>
      <c r="O28" s="11">
        <f>N28/$D$28</f>
        <v/>
      </c>
      <c r="P28" s="10">
        <f>Q28-N28</f>
        <v/>
      </c>
      <c r="Q28" s="10" t="n">
        <v>40</v>
      </c>
      <c r="R28" s="11">
        <f>Q28/$D$28</f>
        <v/>
      </c>
      <c r="S28" s="12">
        <f>T28-Q28</f>
        <v/>
      </c>
      <c r="T28" s="12" t="n">
        <v>40</v>
      </c>
      <c r="U28" s="13">
        <f>T28/$D$28</f>
        <v/>
      </c>
      <c r="V28" s="8" t="inlineStr"/>
    </row>
    <row r="29">
      <c r="A29" s="7" t="n">
        <v>25</v>
      </c>
      <c r="B29" s="8" t="inlineStr">
        <is>
          <t>Taman Rinting</t>
        </is>
      </c>
      <c r="C29" s="9" t="n">
        <v>45588</v>
      </c>
      <c r="D29" s="10" t="n">
        <v>56</v>
      </c>
      <c r="E29" s="7" t="inlineStr">
        <is>
          <t>2387-22</t>
        </is>
      </c>
      <c r="F29" s="8" t="inlineStr">
        <is>
          <t>TAMAN GUNONG HIJAU SDN. BHD.</t>
        </is>
      </c>
      <c r="G29" s="10" t="n"/>
      <c r="H29" s="10" t="n">
        <v>32</v>
      </c>
      <c r="I29" s="11">
        <f>H29/$D$29</f>
        <v/>
      </c>
      <c r="J29" s="10">
        <f>K29-H29</f>
        <v/>
      </c>
      <c r="K29" s="10" t="n">
        <v>31</v>
      </c>
      <c r="L29" s="11">
        <f>K29/$D$29</f>
        <v/>
      </c>
      <c r="M29" s="10">
        <f>N29-K29</f>
        <v/>
      </c>
      <c r="N29" s="10" t="n">
        <v>31</v>
      </c>
      <c r="O29" s="11">
        <f>N29/$D$29</f>
        <v/>
      </c>
      <c r="P29" s="10">
        <f>Q29-N29</f>
        <v/>
      </c>
      <c r="Q29" s="10" t="n">
        <v>31</v>
      </c>
      <c r="R29" s="11">
        <f>Q29/$D$29</f>
        <v/>
      </c>
      <c r="S29" s="12">
        <f>T29-Q29</f>
        <v/>
      </c>
      <c r="T29" s="12" t="n">
        <v>31</v>
      </c>
      <c r="U29" s="13">
        <f>T29/$D$29</f>
        <v/>
      </c>
      <c r="V29" s="8" t="inlineStr"/>
    </row>
    <row r="30">
      <c r="A30" s="7" t="n">
        <v>26</v>
      </c>
      <c r="B30" s="8" t="inlineStr">
        <is>
          <t>Taman Rinting</t>
        </is>
      </c>
      <c r="C30" s="9" t="n">
        <v>45834</v>
      </c>
      <c r="D30" s="10" t="n">
        <v>34</v>
      </c>
      <c r="E30" s="7" t="inlineStr">
        <is>
          <t>2387-23</t>
        </is>
      </c>
      <c r="F30" s="8" t="inlineStr">
        <is>
          <t>TAMAN GUNONG HIJAU SDN. BHD.</t>
        </is>
      </c>
      <c r="G30" s="10" t="n"/>
      <c r="H30" s="10" t="n">
        <v>8</v>
      </c>
      <c r="I30" s="11">
        <f>H30/$D$30</f>
        <v/>
      </c>
      <c r="J30" s="10">
        <f>K30-H30</f>
        <v/>
      </c>
      <c r="K30" s="10" t="n">
        <v>8</v>
      </c>
      <c r="L30" s="11">
        <f>K30/$D$30</f>
        <v/>
      </c>
      <c r="M30" s="10">
        <f>N30-K30</f>
        <v/>
      </c>
      <c r="N30" s="10" t="n">
        <v>9</v>
      </c>
      <c r="O30" s="11">
        <f>N30/$D$30</f>
        <v/>
      </c>
      <c r="P30" s="10">
        <f>Q30-N30</f>
        <v/>
      </c>
      <c r="Q30" s="10" t="n">
        <v>10</v>
      </c>
      <c r="R30" s="11">
        <f>Q30/$D$30</f>
        <v/>
      </c>
      <c r="S30" s="12">
        <f>T30-Q30</f>
        <v/>
      </c>
      <c r="T30" s="12" t="n">
        <v>10</v>
      </c>
      <c r="U30" s="13">
        <f>T30/$D$30</f>
        <v/>
      </c>
      <c r="V30" s="8" t="inlineStr"/>
    </row>
    <row r="31">
      <c r="A31" s="7" t="n">
        <v>27</v>
      </c>
      <c r="B31" s="8" t="inlineStr">
        <is>
          <t>Setia Alamsari township</t>
        </is>
      </c>
      <c r="C31" s="9" t="n">
        <v>45453</v>
      </c>
      <c r="D31" s="10" t="n">
        <v>72</v>
      </c>
      <c r="E31" s="7" t="inlineStr">
        <is>
          <t>30101-8</t>
        </is>
      </c>
      <c r="F31" s="8" t="inlineStr">
        <is>
          <t>SETIA ALAMSARI  SDN. BHD.</t>
        </is>
      </c>
      <c r="G31" s="10" t="n"/>
      <c r="H31" s="10" t="n">
        <v>27</v>
      </c>
      <c r="I31" s="11">
        <f>H31/$D$31</f>
        <v/>
      </c>
      <c r="J31" s="10">
        <f>K31-H31</f>
        <v/>
      </c>
      <c r="K31" s="10" t="n">
        <v>27</v>
      </c>
      <c r="L31" s="11">
        <f>K31/$D$31</f>
        <v/>
      </c>
      <c r="M31" s="10">
        <f>N31-K31</f>
        <v/>
      </c>
      <c r="N31" s="10" t="n">
        <v>27</v>
      </c>
      <c r="O31" s="11">
        <f>N31/$D$31</f>
        <v/>
      </c>
      <c r="P31" s="10">
        <f>Q31-N31</f>
        <v/>
      </c>
      <c r="Q31" s="10" t="n">
        <v>28</v>
      </c>
      <c r="R31" s="11">
        <f>Q31/$D$31</f>
        <v/>
      </c>
      <c r="S31" s="12">
        <f>T31-Q31</f>
        <v/>
      </c>
      <c r="T31" s="12" t="n">
        <v>31</v>
      </c>
      <c r="U31" s="13">
        <f>T31/$D$31</f>
        <v/>
      </c>
      <c r="V31" s="8" t="inlineStr"/>
    </row>
    <row r="32">
      <c r="A32" s="7" t="n">
        <v>28</v>
      </c>
      <c r="B32" s="8" t="inlineStr">
        <is>
          <t>Avalyn @ Setia Alamsari</t>
        </is>
      </c>
      <c r="C32" s="9" t="n">
        <v>45961</v>
      </c>
      <c r="D32" s="10" t="n">
        <v>60</v>
      </c>
      <c r="E32" s="7" t="inlineStr">
        <is>
          <t>30101-9</t>
        </is>
      </c>
      <c r="F32" s="8" t="inlineStr">
        <is>
          <t>SETIA ALAMSARI  SDN. BHD.</t>
        </is>
      </c>
      <c r="G32" s="10" t="n"/>
      <c r="H32" s="10" t="n">
        <v>37</v>
      </c>
      <c r="I32" s="11">
        <f>H32/$D$32</f>
        <v/>
      </c>
      <c r="J32" s="10">
        <f>K32-H32</f>
        <v/>
      </c>
      <c r="K32" s="10" t="n">
        <v>38</v>
      </c>
      <c r="L32" s="11">
        <f>K32/$D$32</f>
        <v/>
      </c>
      <c r="M32" s="10">
        <f>N32-K32</f>
        <v/>
      </c>
      <c r="N32" s="10" t="n">
        <v>38</v>
      </c>
      <c r="O32" s="11">
        <f>N32/$D$32</f>
        <v/>
      </c>
      <c r="P32" s="10">
        <f>Q32-N32</f>
        <v/>
      </c>
      <c r="Q32" s="10" t="n">
        <v>38</v>
      </c>
      <c r="R32" s="11">
        <f>Q32/$D$32</f>
        <v/>
      </c>
      <c r="S32" s="12">
        <f>T32-Q32</f>
        <v/>
      </c>
      <c r="T32" s="12" t="n">
        <v>39</v>
      </c>
      <c r="U32" s="13">
        <f>T32/$D$32</f>
        <v/>
      </c>
      <c r="V32" s="8" t="inlineStr"/>
    </row>
    <row r="33">
      <c r="A33" s="7" t="n">
        <v>29</v>
      </c>
      <c r="B33" s="8" t="inlineStr">
        <is>
          <t>Parkside Residences @ Setia Federal Hill</t>
        </is>
      </c>
      <c r="C33" s="9" t="n">
        <v>45643</v>
      </c>
      <c r="D33" s="10" t="n">
        <v>693</v>
      </c>
      <c r="E33" s="7" t="inlineStr">
        <is>
          <t>30874-1</t>
        </is>
      </c>
      <c r="F33" s="8" t="inlineStr">
        <is>
          <t>SETIA MF SFH DEVELOPMENT  SDN. BHD.</t>
        </is>
      </c>
      <c r="G33" s="10" t="n"/>
      <c r="H33" s="10" t="n">
        <v>232</v>
      </c>
      <c r="I33" s="11">
        <f>H33/$D$33</f>
        <v/>
      </c>
      <c r="J33" s="10">
        <f>K33-H33</f>
        <v/>
      </c>
      <c r="K33" s="10" t="n">
        <v>236</v>
      </c>
      <c r="L33" s="11">
        <f>K33/$D$33</f>
        <v/>
      </c>
      <c r="M33" s="10">
        <f>N33-K33</f>
        <v/>
      </c>
      <c r="N33" s="10" t="n">
        <v>240</v>
      </c>
      <c r="O33" s="11">
        <f>N33/$D$33</f>
        <v/>
      </c>
      <c r="P33" s="10">
        <f>Q33-N33</f>
        <v/>
      </c>
      <c r="Q33" s="10" t="n">
        <v>244</v>
      </c>
      <c r="R33" s="11">
        <f>Q33/$D$33</f>
        <v/>
      </c>
      <c r="S33" s="12">
        <f>T33-Q33</f>
        <v/>
      </c>
      <c r="T33" s="12" t="n">
        <v>250</v>
      </c>
      <c r="U33" s="13">
        <f>T33/$D$33</f>
        <v/>
      </c>
      <c r="V33" s="8" t="inlineStr"/>
    </row>
    <row r="34">
      <c r="A34" s="7" t="n">
        <v>30</v>
      </c>
      <c r="B34" s="8" t="inlineStr">
        <is>
          <t>Setia Tropika</t>
        </is>
      </c>
      <c r="C34" s="9" t="n">
        <v>46077</v>
      </c>
      <c r="D34" s="10" t="n">
        <v>162</v>
      </c>
      <c r="E34" s="7" t="inlineStr">
        <is>
          <t>37-10</t>
        </is>
      </c>
      <c r="F34" s="8" t="inlineStr">
        <is>
          <t>PETALING GARDEN SDN. BHD.</t>
        </is>
      </c>
      <c r="G34" s="10" t="n"/>
      <c r="H34" s="10" t="n">
        <v>10</v>
      </c>
      <c r="I34" s="11">
        <f>H34/$D$34</f>
        <v/>
      </c>
      <c r="J34" s="10">
        <f>K34-H34</f>
        <v/>
      </c>
      <c r="K34" s="10" t="n">
        <v>10</v>
      </c>
      <c r="L34" s="11">
        <f>K34/$D$34</f>
        <v/>
      </c>
      <c r="M34" s="10">
        <f>N34-K34</f>
        <v/>
      </c>
      <c r="N34" s="10" t="n">
        <v>10</v>
      </c>
      <c r="O34" s="11">
        <f>N34/$D$34</f>
        <v/>
      </c>
      <c r="P34" s="10">
        <f>Q34-N34</f>
        <v/>
      </c>
      <c r="Q34" s="10" t="n">
        <v>12</v>
      </c>
      <c r="R34" s="11">
        <f>Q34/$D$34</f>
        <v/>
      </c>
      <c r="S34" s="12">
        <f>T34-Q34</f>
        <v/>
      </c>
      <c r="T34" s="12" t="n">
        <v>12</v>
      </c>
      <c r="U34" s="13">
        <f>T34/$D$34</f>
        <v/>
      </c>
      <c r="V34" s="8" t="inlineStr"/>
    </row>
    <row r="35">
      <c r="A35" s="7" t="n">
        <v>31</v>
      </c>
      <c r="B35" s="8" t="inlineStr">
        <is>
          <t>Setia Tropika</t>
        </is>
      </c>
      <c r="C35" s="9" t="n">
        <v>45630</v>
      </c>
      <c r="D35" s="10" t="n">
        <v>420</v>
      </c>
      <c r="E35" s="7" t="inlineStr">
        <is>
          <t>37-9</t>
        </is>
      </c>
      <c r="F35" s="8" t="inlineStr">
        <is>
          <t>PETALING GARDEN SDN. BHD.</t>
        </is>
      </c>
      <c r="G35" s="10" t="n"/>
      <c r="H35" s="10" t="n">
        <v>10</v>
      </c>
      <c r="I35" s="11">
        <f>H35/$D$35</f>
        <v/>
      </c>
      <c r="J35" s="10">
        <f>K35-H35</f>
        <v/>
      </c>
      <c r="K35" s="10" t="n">
        <v>10</v>
      </c>
      <c r="L35" s="11">
        <f>K35/$D$35</f>
        <v/>
      </c>
      <c r="M35" s="10">
        <f>N35-K35</f>
        <v/>
      </c>
      <c r="N35" s="10" t="n">
        <v>10</v>
      </c>
      <c r="O35" s="11">
        <f>N35/$D$35</f>
        <v/>
      </c>
      <c r="P35" s="10">
        <f>Q35-N35</f>
        <v/>
      </c>
      <c r="Q35" s="10" t="n">
        <v>14</v>
      </c>
      <c r="R35" s="11">
        <f>Q35/$D$35</f>
        <v/>
      </c>
      <c r="S35" s="12">
        <f>T35-Q35</f>
        <v/>
      </c>
      <c r="T35" s="12" t="n">
        <v>14</v>
      </c>
      <c r="U35" s="13">
        <f>T35/$D$35</f>
        <v/>
      </c>
      <c r="V35" s="8" t="inlineStr">
        <is>
          <t>Latest sales - Block A: 2 units, Block B: 1 units, Block C: 2 units, Block G: 2 units, Block H: 2 units, Block J: 2 units, Block L: 3 units</t>
        </is>
      </c>
    </row>
    <row r="36">
      <c r="A36" s="7" t="n">
        <v>32</v>
      </c>
      <c r="B36" s="8" t="inlineStr">
        <is>
          <t>Bandar Kinrara</t>
        </is>
      </c>
      <c r="C36" s="9" t="n">
        <v>45266</v>
      </c>
      <c r="D36" s="10" t="n">
        <v>37</v>
      </c>
      <c r="E36" s="7" t="inlineStr">
        <is>
          <t>4924-79</t>
        </is>
      </c>
      <c r="F36" s="8" t="inlineStr">
        <is>
          <t>PERUMAHAN KINRARA BERHAD</t>
        </is>
      </c>
      <c r="G36" s="10" t="n"/>
      <c r="H36" s="10" t="n">
        <v>37</v>
      </c>
      <c r="I36" s="11">
        <f>H36/$D$36</f>
        <v/>
      </c>
      <c r="J36" s="10">
        <f>K36-H36</f>
        <v/>
      </c>
      <c r="K36" s="10" t="n">
        <v>37</v>
      </c>
      <c r="L36" s="11">
        <f>K36/$D$36</f>
        <v/>
      </c>
      <c r="M36" s="10">
        <f>N36-K36</f>
        <v/>
      </c>
      <c r="N36" s="10" t="n">
        <v>37</v>
      </c>
      <c r="O36" s="11">
        <f>N36/$D$36</f>
        <v/>
      </c>
      <c r="P36" s="10">
        <f>Q36-N36</f>
        <v/>
      </c>
      <c r="Q36" s="10" t="n">
        <v>37</v>
      </c>
      <c r="R36" s="11">
        <f>Q36/$D$36</f>
        <v/>
      </c>
      <c r="S36" s="12">
        <f>T36-Q36</f>
        <v/>
      </c>
      <c r="T36" s="12" t="n">
        <v>37</v>
      </c>
      <c r="U36" s="13">
        <f>T36/$D$36</f>
        <v/>
      </c>
      <c r="V36" s="8" t="inlineStr"/>
    </row>
    <row r="37">
      <c r="A37" s="7" t="n">
        <v>33</v>
      </c>
      <c r="B37" s="8" t="inlineStr">
        <is>
          <t>Bandar Kinrara</t>
        </is>
      </c>
      <c r="C37" s="9" t="n">
        <v>45302</v>
      </c>
      <c r="D37" s="10" t="n">
        <v>38</v>
      </c>
      <c r="E37" s="7" t="inlineStr">
        <is>
          <t>4924-80</t>
        </is>
      </c>
      <c r="F37" s="8" t="inlineStr">
        <is>
          <t>PERUMAHAN KINRARA BERHAD</t>
        </is>
      </c>
      <c r="G37" s="10" t="n"/>
      <c r="H37" s="10" t="n">
        <v>37</v>
      </c>
      <c r="I37" s="11">
        <f>H37/$D$37</f>
        <v/>
      </c>
      <c r="J37" s="10">
        <f>K37-H37</f>
        <v/>
      </c>
      <c r="K37" s="10" t="n">
        <v>37</v>
      </c>
      <c r="L37" s="11">
        <f>K37/$D$37</f>
        <v/>
      </c>
      <c r="M37" s="10">
        <f>N37-K37</f>
        <v/>
      </c>
      <c r="N37" s="10" t="n">
        <v>37</v>
      </c>
      <c r="O37" s="11">
        <f>N37/$D$37</f>
        <v/>
      </c>
      <c r="P37" s="10">
        <f>Q37-N37</f>
        <v/>
      </c>
      <c r="Q37" s="10" t="n">
        <v>37</v>
      </c>
      <c r="R37" s="11">
        <f>Q37/$D$37</f>
        <v/>
      </c>
      <c r="S37" s="12">
        <f>T37-Q37</f>
        <v/>
      </c>
      <c r="T37" s="12" t="n">
        <v>37</v>
      </c>
      <c r="U37" s="13">
        <f>T37/$D$37</f>
        <v/>
      </c>
      <c r="V37" s="8" t="inlineStr"/>
    </row>
    <row r="38">
      <c r="A38" s="7" t="n">
        <v>34</v>
      </c>
      <c r="B38" s="8" t="inlineStr">
        <is>
          <t>Bandar Kinrara</t>
        </is>
      </c>
      <c r="C38" s="9" t="n">
        <v>45463</v>
      </c>
      <c r="D38" s="10" t="n">
        <v>28</v>
      </c>
      <c r="E38" s="7" t="inlineStr">
        <is>
          <t>4924-81</t>
        </is>
      </c>
      <c r="F38" s="8" t="inlineStr">
        <is>
          <t>PERUMAHAN KINRARA BERHAD</t>
        </is>
      </c>
      <c r="G38" s="10" t="n"/>
      <c r="H38" s="10" t="n">
        <v>28</v>
      </c>
      <c r="I38" s="11">
        <f>H38/$D$38</f>
        <v/>
      </c>
      <c r="J38" s="10">
        <f>K38-H38</f>
        <v/>
      </c>
      <c r="K38" s="10" t="n">
        <v>28</v>
      </c>
      <c r="L38" s="11">
        <f>K38/$D$38</f>
        <v/>
      </c>
      <c r="M38" s="10">
        <f>N38-K38</f>
        <v/>
      </c>
      <c r="N38" s="10" t="n">
        <v>28</v>
      </c>
      <c r="O38" s="11">
        <f>N38/$D$38</f>
        <v/>
      </c>
      <c r="P38" s="10">
        <f>Q38-N38</f>
        <v/>
      </c>
      <c r="Q38" s="10" t="n">
        <v>28</v>
      </c>
      <c r="R38" s="11">
        <f>Q38/$D$38</f>
        <v/>
      </c>
      <c r="S38" s="12">
        <f>T38-Q38</f>
        <v/>
      </c>
      <c r="T38" s="12" t="n">
        <v>28</v>
      </c>
      <c r="U38" s="13">
        <f>T38/$D$38</f>
        <v/>
      </c>
      <c r="V38" s="8" t="inlineStr"/>
    </row>
    <row r="39">
      <c r="A39" s="7" t="n">
        <v>35</v>
      </c>
      <c r="B39" s="8" t="inlineStr">
        <is>
          <t>Bandar Kinrara</t>
        </is>
      </c>
      <c r="C39" s="9" t="n">
        <v>45584</v>
      </c>
      <c r="D39" s="10" t="n">
        <v>30</v>
      </c>
      <c r="E39" s="7" t="inlineStr">
        <is>
          <t>4924-82</t>
        </is>
      </c>
      <c r="F39" s="8" t="inlineStr">
        <is>
          <t>PERUMAHAN KINRARA BERHAD</t>
        </is>
      </c>
      <c r="G39" s="10" t="n"/>
      <c r="H39" s="10" t="n">
        <v>30</v>
      </c>
      <c r="I39" s="11">
        <f>H39/$D$39</f>
        <v/>
      </c>
      <c r="J39" s="10">
        <f>K39-H39</f>
        <v/>
      </c>
      <c r="K39" s="10" t="n">
        <v>30</v>
      </c>
      <c r="L39" s="11">
        <f>K39/$D$39</f>
        <v/>
      </c>
      <c r="M39" s="10">
        <f>N39-K39</f>
        <v/>
      </c>
      <c r="N39" s="10" t="n">
        <v>30</v>
      </c>
      <c r="O39" s="11">
        <f>N39/$D$39</f>
        <v/>
      </c>
      <c r="P39" s="10">
        <f>Q39-N39</f>
        <v/>
      </c>
      <c r="Q39" s="10" t="n">
        <v>30</v>
      </c>
      <c r="R39" s="11">
        <f>Q39/$D$39</f>
        <v/>
      </c>
      <c r="S39" s="12">
        <f>T39-Q39</f>
        <v/>
      </c>
      <c r="T39" s="12" t="n">
        <v>30</v>
      </c>
      <c r="U39" s="13">
        <f>T39/$D$39</f>
        <v/>
      </c>
      <c r="V39" s="8" t="inlineStr"/>
    </row>
    <row r="40">
      <c r="A40" s="7" t="n">
        <v>36</v>
      </c>
      <c r="B40" s="8" t="inlineStr">
        <is>
          <t>Bandar Kinrara</t>
        </is>
      </c>
      <c r="C40" s="9" t="n">
        <v>45945</v>
      </c>
      <c r="D40" s="10" t="n">
        <v>18</v>
      </c>
      <c r="E40" s="7" t="inlineStr">
        <is>
          <t>4924-83</t>
        </is>
      </c>
      <c r="F40" s="8" t="inlineStr">
        <is>
          <t>PERUMAHAN KINRARA BERHAD</t>
        </is>
      </c>
      <c r="G40" s="10" t="n"/>
      <c r="H40" s="10" t="n">
        <v>0</v>
      </c>
      <c r="I40" s="11">
        <f>H40/$D$40</f>
        <v/>
      </c>
      <c r="J40" s="10">
        <f>K40-H40</f>
        <v/>
      </c>
      <c r="K40" s="10" t="n">
        <v>0</v>
      </c>
      <c r="L40" s="11">
        <f>K40/$D$40</f>
        <v/>
      </c>
      <c r="M40" s="10">
        <f>N40-K40</f>
        <v/>
      </c>
      <c r="N40" s="10" t="n">
        <v>0</v>
      </c>
      <c r="O40" s="11">
        <f>N40/$D$40</f>
        <v/>
      </c>
      <c r="P40" s="10">
        <f>Q40-N40</f>
        <v/>
      </c>
      <c r="Q40" s="10" t="n">
        <v>0</v>
      </c>
      <c r="R40" s="11">
        <f>Q40/$D$40</f>
        <v/>
      </c>
      <c r="S40" s="12">
        <f>T40-Q40</f>
        <v/>
      </c>
      <c r="T40" s="12" t="n">
        <v>0</v>
      </c>
      <c r="U40" s="13">
        <f>T40/$D$40</f>
        <v/>
      </c>
      <c r="V40" s="8" t="inlineStr"/>
    </row>
    <row r="41">
      <c r="A41" s="7" t="n">
        <v>37</v>
      </c>
      <c r="B41" s="8" t="inlineStr">
        <is>
          <t>Residensi Camar</t>
        </is>
      </c>
      <c r="C41" s="9" t="n">
        <v>45772</v>
      </c>
      <c r="D41" s="10" t="n">
        <v>499</v>
      </c>
      <c r="E41" s="7" t="inlineStr">
        <is>
          <t>673-12</t>
        </is>
      </c>
      <c r="F41" s="8" t="inlineStr">
        <is>
          <t>PELANGI SDN. BHD.</t>
        </is>
      </c>
      <c r="G41" s="10" t="n"/>
      <c r="H41" s="10" t="n">
        <v>201</v>
      </c>
      <c r="I41" s="11">
        <f>H41/$D$41</f>
        <v/>
      </c>
      <c r="J41" s="10">
        <f>K41-H41</f>
        <v/>
      </c>
      <c r="K41" s="10" t="n">
        <v>203</v>
      </c>
      <c r="L41" s="11">
        <f>K41/$D$41</f>
        <v/>
      </c>
      <c r="M41" s="10">
        <f>N41-K41</f>
        <v/>
      </c>
      <c r="N41" s="10" t="n">
        <v>203</v>
      </c>
      <c r="O41" s="11">
        <f>N41/$D$41</f>
        <v/>
      </c>
      <c r="P41" s="10">
        <f>Q41-N41</f>
        <v/>
      </c>
      <c r="Q41" s="10" t="n">
        <v>203</v>
      </c>
      <c r="R41" s="11">
        <f>Q41/$D$41</f>
        <v/>
      </c>
      <c r="S41" s="12">
        <f>T41-Q41</f>
        <v/>
      </c>
      <c r="T41" s="12" t="n">
        <v>203</v>
      </c>
      <c r="U41" s="13">
        <f>T41/$D$41</f>
        <v/>
      </c>
      <c r="V41" s="8" t="inlineStr"/>
    </row>
    <row r="42">
      <c r="A42" s="7" t="n">
        <v>38</v>
      </c>
      <c r="B42" s="8" t="inlineStr">
        <is>
          <t>Taman Pelangi Indah</t>
        </is>
      </c>
      <c r="C42" s="9" t="n">
        <v>45692</v>
      </c>
      <c r="D42" s="10" t="n">
        <v>86</v>
      </c>
      <c r="E42" s="7" t="inlineStr">
        <is>
          <t>7180-39</t>
        </is>
      </c>
      <c r="F42" s="8" t="inlineStr">
        <is>
          <t>YUKONG DEVELOPMENT (PTE) LIMITED</t>
        </is>
      </c>
      <c r="G42" s="10" t="n"/>
      <c r="H42" s="10" t="n">
        <v>52</v>
      </c>
      <c r="I42" s="11">
        <f>H42/$D$42</f>
        <v/>
      </c>
      <c r="J42" s="10">
        <f>K42-H42</f>
        <v/>
      </c>
      <c r="K42" s="10" t="n">
        <v>52</v>
      </c>
      <c r="L42" s="11">
        <f>K42/$D$42</f>
        <v/>
      </c>
      <c r="M42" s="10">
        <f>N42-K42</f>
        <v/>
      </c>
      <c r="N42" s="10" t="n">
        <v>52</v>
      </c>
      <c r="O42" s="11">
        <f>N42/$D$42</f>
        <v/>
      </c>
      <c r="P42" s="10">
        <f>Q42-N42</f>
        <v/>
      </c>
      <c r="Q42" s="10" t="n">
        <v>53</v>
      </c>
      <c r="R42" s="11">
        <f>Q42/$D$42</f>
        <v/>
      </c>
      <c r="S42" s="12">
        <f>T42-Q42</f>
        <v/>
      </c>
      <c r="T42" s="12" t="n">
        <v>53</v>
      </c>
      <c r="U42" s="13">
        <f>T42/$D$42</f>
        <v/>
      </c>
      <c r="V42" s="8" t="inlineStr"/>
    </row>
    <row r="43">
      <c r="A43" s="7" t="n">
        <v>39</v>
      </c>
      <c r="B43" s="8" t="inlineStr">
        <is>
          <t>Taman Pelangi Indah</t>
        </is>
      </c>
      <c r="C43" s="9" t="n">
        <v>46028</v>
      </c>
      <c r="D43" s="10" t="n">
        <v>77</v>
      </c>
      <c r="E43" s="7" t="inlineStr">
        <is>
          <t>7180-40</t>
        </is>
      </c>
      <c r="F43" s="8" t="inlineStr">
        <is>
          <t>YUKONG DEVELOPMENT (PTE) LIMITED</t>
        </is>
      </c>
      <c r="G43" s="10" t="n"/>
      <c r="H43" s="10" t="n">
        <v>26</v>
      </c>
      <c r="I43" s="11">
        <f>H43/$D$43</f>
        <v/>
      </c>
      <c r="J43" s="10">
        <f>K43-H43</f>
        <v/>
      </c>
      <c r="K43" s="10" t="n">
        <v>27</v>
      </c>
      <c r="L43" s="11">
        <f>K43/$D$43</f>
        <v/>
      </c>
      <c r="M43" s="10">
        <f>N43-K43</f>
        <v/>
      </c>
      <c r="N43" s="10" t="n">
        <v>27</v>
      </c>
      <c r="O43" s="11">
        <f>N43/$D$43</f>
        <v/>
      </c>
      <c r="P43" s="10">
        <f>Q43-N43</f>
        <v/>
      </c>
      <c r="Q43" s="10" t="n">
        <v>29</v>
      </c>
      <c r="R43" s="11">
        <f>Q43/$D$43</f>
        <v/>
      </c>
      <c r="S43" s="12">
        <f>T43-Q43</f>
        <v/>
      </c>
      <c r="T43" s="12" t="n">
        <v>29</v>
      </c>
      <c r="U43" s="13">
        <f>T43/$D$43</f>
        <v/>
      </c>
      <c r="V43" s="8" t="inlineStr"/>
    </row>
    <row r="44">
      <c r="A44" s="7" t="n">
        <v>40</v>
      </c>
      <c r="B44" s="8" t="inlineStr">
        <is>
          <t>Taman Pelangi Indah</t>
        </is>
      </c>
      <c r="C44" s="9" t="n">
        <v>46142</v>
      </c>
      <c r="D44" s="10" t="n">
        <v>98</v>
      </c>
      <c r="E44" s="7" t="inlineStr">
        <is>
          <t>7180-41</t>
        </is>
      </c>
      <c r="F44" s="8" t="inlineStr">
        <is>
          <t>YUKONG DEVELOPMENT (PTE) LIMITED</t>
        </is>
      </c>
      <c r="G44" s="10" t="n"/>
      <c r="H44" s="10" t="n">
        <v>0</v>
      </c>
      <c r="I44" s="11">
        <f>H44/$D$44</f>
        <v/>
      </c>
      <c r="J44" s="10">
        <f>K44-H44</f>
        <v/>
      </c>
      <c r="K44" s="10" t="n">
        <v>0</v>
      </c>
      <c r="L44" s="11">
        <f>K44/$D$44</f>
        <v/>
      </c>
      <c r="M44" s="10">
        <f>N44-K44</f>
        <v/>
      </c>
      <c r="N44" s="10" t="n">
        <v>0</v>
      </c>
      <c r="O44" s="11">
        <f>N44/$D$44</f>
        <v/>
      </c>
      <c r="P44" s="10">
        <f>Q44-N44</f>
        <v/>
      </c>
      <c r="Q44" s="10" t="n">
        <v>14</v>
      </c>
      <c r="R44" s="11">
        <f>Q44/$D$44</f>
        <v/>
      </c>
      <c r="S44" s="12">
        <f>T44-Q44</f>
        <v/>
      </c>
      <c r="T44" s="12" t="n">
        <v>28</v>
      </c>
      <c r="U44" s="13">
        <f>T44/$D$44</f>
        <v/>
      </c>
      <c r="V44" s="8" t="inlineStr"/>
    </row>
    <row r="45">
      <c r="A45" s="7" t="n">
        <v>41</v>
      </c>
      <c r="B45" s="8" t="inlineStr">
        <is>
          <t>Sri Senja &amp; Sri Embun @ Setia Indah</t>
        </is>
      </c>
      <c r="C45" s="9" t="n">
        <v>42948</v>
      </c>
      <c r="D45" s="10" t="n">
        <v>355</v>
      </c>
      <c r="E45" s="7" t="inlineStr">
        <is>
          <t>8118-60</t>
        </is>
      </c>
      <c r="F45" s="8" t="inlineStr">
        <is>
          <t>SETIA INDAH SDN. BHD.</t>
        </is>
      </c>
      <c r="G45" s="10" t="n"/>
      <c r="H45" s="10" t="n">
        <v>341</v>
      </c>
      <c r="I45" s="11">
        <f>H45/$D$45</f>
        <v/>
      </c>
      <c r="J45" s="10">
        <f>K45-H45</f>
        <v/>
      </c>
      <c r="K45" s="10" t="n">
        <v>342</v>
      </c>
      <c r="L45" s="11">
        <f>K45/$D$45</f>
        <v/>
      </c>
      <c r="M45" s="10">
        <f>N45-K45</f>
        <v/>
      </c>
      <c r="N45" s="10" t="n">
        <v>342</v>
      </c>
      <c r="O45" s="11">
        <f>N45/$D$45</f>
        <v/>
      </c>
      <c r="P45" s="10">
        <f>Q45-N45</f>
        <v/>
      </c>
      <c r="Q45" s="10" t="n">
        <v>342</v>
      </c>
      <c r="R45" s="11">
        <f>Q45/$D$45</f>
        <v/>
      </c>
      <c r="S45" s="12">
        <f>T45-Q45</f>
        <v/>
      </c>
      <c r="T45" s="12" t="n">
        <v>342</v>
      </c>
      <c r="U45" s="13">
        <f>T45/$D$45</f>
        <v/>
      </c>
      <c r="V45" s="8" t="inlineStr"/>
    </row>
    <row r="46">
      <c r="A46" s="7" t="n">
        <v>42</v>
      </c>
      <c r="B46" s="8" t="inlineStr">
        <is>
          <t>Aurinia @ Setia Indah</t>
        </is>
      </c>
      <c r="C46" s="9" t="n">
        <v>45198</v>
      </c>
      <c r="D46" s="10" t="n">
        <v>40</v>
      </c>
      <c r="E46" s="7" t="inlineStr">
        <is>
          <t>8118-74</t>
        </is>
      </c>
      <c r="F46" s="8" t="inlineStr">
        <is>
          <t>SETIA INDAH SDN. BHD.</t>
        </is>
      </c>
      <c r="G46" s="10" t="n"/>
      <c r="H46" s="10" t="n">
        <v>36</v>
      </c>
      <c r="I46" s="11">
        <f>H46/$D$46</f>
        <v/>
      </c>
      <c r="J46" s="10">
        <f>K46-H46</f>
        <v/>
      </c>
      <c r="K46" s="10" t="n">
        <v>36</v>
      </c>
      <c r="L46" s="11">
        <f>K46/$D$46</f>
        <v/>
      </c>
      <c r="M46" s="10">
        <f>N46-K46</f>
        <v/>
      </c>
      <c r="N46" s="10" t="n">
        <v>36</v>
      </c>
      <c r="O46" s="11">
        <f>N46/$D$46</f>
        <v/>
      </c>
      <c r="P46" s="10">
        <f>Q46-N46</f>
        <v/>
      </c>
      <c r="Q46" s="10" t="n">
        <v>36</v>
      </c>
      <c r="R46" s="11">
        <f>Q46/$D$46</f>
        <v/>
      </c>
      <c r="S46" s="12">
        <f>T46-Q46</f>
        <v/>
      </c>
      <c r="T46" s="12" t="n">
        <v>36</v>
      </c>
      <c r="U46" s="13">
        <f>T46/$D$46</f>
        <v/>
      </c>
      <c r="V46" s="8" t="inlineStr"/>
    </row>
    <row r="47">
      <c r="A47" s="7" t="n">
        <v>43</v>
      </c>
      <c r="B47" s="8" t="inlineStr">
        <is>
          <t>Laman Aluvium @ Setia Indah</t>
        </is>
      </c>
      <c r="C47" s="9" t="n">
        <v>45301</v>
      </c>
      <c r="D47" s="10" t="n">
        <v>103</v>
      </c>
      <c r="E47" s="7" t="inlineStr">
        <is>
          <t>8118-75</t>
        </is>
      </c>
      <c r="F47" s="8" t="inlineStr">
        <is>
          <t>SETIA INDAH SDN. BHD.</t>
        </is>
      </c>
      <c r="G47" s="10" t="n"/>
      <c r="H47" s="10" t="n">
        <v>75</v>
      </c>
      <c r="I47" s="11">
        <f>H47/$D$47</f>
        <v/>
      </c>
      <c r="J47" s="10">
        <f>K47-H47</f>
        <v/>
      </c>
      <c r="K47" s="10" t="n">
        <v>75</v>
      </c>
      <c r="L47" s="11">
        <f>K47/$D$47</f>
        <v/>
      </c>
      <c r="M47" s="10">
        <f>N47-K47</f>
        <v/>
      </c>
      <c r="N47" s="10" t="n">
        <v>73</v>
      </c>
      <c r="O47" s="11">
        <f>N47/$D$47</f>
        <v/>
      </c>
      <c r="P47" s="10">
        <f>Q47-N47</f>
        <v/>
      </c>
      <c r="Q47" s="10" t="n">
        <v>73</v>
      </c>
      <c r="R47" s="11">
        <f>Q47/$D$47</f>
        <v/>
      </c>
      <c r="S47" s="12">
        <f>T47-Q47</f>
        <v/>
      </c>
      <c r="T47" s="12" t="n">
        <v>79</v>
      </c>
      <c r="U47" s="13">
        <f>T47/$D$47</f>
        <v/>
      </c>
      <c r="V47" s="8" t="inlineStr"/>
    </row>
    <row r="48">
      <c r="A48" s="7" t="n">
        <v>44</v>
      </c>
      <c r="B48" s="8" t="inlineStr">
        <is>
          <t>Laman Aluvium @ Setia Indah</t>
        </is>
      </c>
      <c r="C48" s="9" t="n">
        <v>45301</v>
      </c>
      <c r="D48" s="10" t="n">
        <v>95</v>
      </c>
      <c r="E48" s="7" t="inlineStr">
        <is>
          <t>8118-76</t>
        </is>
      </c>
      <c r="F48" s="8" t="inlineStr">
        <is>
          <t>SETIA INDAH SDN. BHD.</t>
        </is>
      </c>
      <c r="G48" s="10" t="n"/>
      <c r="H48" s="10" t="n">
        <v>68</v>
      </c>
      <c r="I48" s="11">
        <f>H48/$D$48</f>
        <v/>
      </c>
      <c r="J48" s="10">
        <f>K48-H48</f>
        <v/>
      </c>
      <c r="K48" s="10" t="n">
        <v>68</v>
      </c>
      <c r="L48" s="11">
        <f>K48/$D$48</f>
        <v/>
      </c>
      <c r="M48" s="10">
        <f>N48-K48</f>
        <v/>
      </c>
      <c r="N48" s="10" t="n">
        <v>69</v>
      </c>
      <c r="O48" s="11">
        <f>N48/$D$48</f>
        <v/>
      </c>
      <c r="P48" s="10">
        <f>Q48-N48</f>
        <v/>
      </c>
      <c r="Q48" s="10" t="n">
        <v>69</v>
      </c>
      <c r="R48" s="11">
        <f>Q48/$D$48</f>
        <v/>
      </c>
      <c r="S48" s="12">
        <f>T48-Q48</f>
        <v/>
      </c>
      <c r="T48" s="12" t="n">
        <v>70</v>
      </c>
      <c r="U48" s="13">
        <f>T48/$D$48</f>
        <v/>
      </c>
      <c r="V48" s="8" t="inlineStr"/>
    </row>
    <row r="49">
      <c r="A49" s="7" t="n">
        <v>45</v>
      </c>
      <c r="B49" s="8" t="inlineStr">
        <is>
          <t>Laman Bukit @ Setia Indah</t>
        </is>
      </c>
      <c r="C49" s="9" t="n">
        <v>45588</v>
      </c>
      <c r="D49" s="10" t="n">
        <v>30</v>
      </c>
      <c r="E49" s="7" t="inlineStr">
        <is>
          <t>8118-77</t>
        </is>
      </c>
      <c r="F49" s="8" t="inlineStr">
        <is>
          <t>SETIA INDAH SDN. BHD.</t>
        </is>
      </c>
      <c r="G49" s="10" t="n"/>
      <c r="H49" s="10" t="n">
        <v>17</v>
      </c>
      <c r="I49" s="11">
        <f>H49/$D$49</f>
        <v/>
      </c>
      <c r="J49" s="10">
        <f>K49-H49</f>
        <v/>
      </c>
      <c r="K49" s="10" t="n">
        <v>17</v>
      </c>
      <c r="L49" s="11">
        <f>K49/$D$49</f>
        <v/>
      </c>
      <c r="M49" s="10">
        <f>N49-K49</f>
        <v/>
      </c>
      <c r="N49" s="10" t="n">
        <v>18</v>
      </c>
      <c r="O49" s="11">
        <f>N49/$D$49</f>
        <v/>
      </c>
      <c r="P49" s="10">
        <f>Q49-N49</f>
        <v/>
      </c>
      <c r="Q49" s="10" t="n">
        <v>19</v>
      </c>
      <c r="R49" s="11">
        <f>Q49/$D$49</f>
        <v/>
      </c>
      <c r="S49" s="12">
        <f>T49-Q49</f>
        <v/>
      </c>
      <c r="T49" s="12" t="n">
        <v>19</v>
      </c>
      <c r="U49" s="13">
        <f>T49/$D$49</f>
        <v/>
      </c>
      <c r="V49" s="8" t="inlineStr"/>
    </row>
    <row r="50">
      <c r="A50" s="7" t="n">
        <v>46</v>
      </c>
      <c r="B50" s="8" t="inlineStr">
        <is>
          <t>Pangsapuri Setia Impiana @ Setia Indah</t>
        </is>
      </c>
      <c r="C50" s="9" t="n">
        <v>45734</v>
      </c>
      <c r="D50" s="10" t="n">
        <v>600</v>
      </c>
      <c r="E50" s="7" t="inlineStr">
        <is>
          <t>8118-78</t>
        </is>
      </c>
      <c r="F50" s="8" t="inlineStr">
        <is>
          <t>SETIA INDAH SDN. BHD.</t>
        </is>
      </c>
      <c r="G50" s="10" t="n"/>
      <c r="H50" s="10" t="n">
        <v>111</v>
      </c>
      <c r="I50" s="11">
        <f>H50/$D$50</f>
        <v/>
      </c>
      <c r="J50" s="10">
        <f>K50-H50</f>
        <v/>
      </c>
      <c r="K50" s="10" t="n">
        <v>115</v>
      </c>
      <c r="L50" s="11">
        <f>K50/$D$50</f>
        <v/>
      </c>
      <c r="M50" s="10">
        <f>N50-K50</f>
        <v/>
      </c>
      <c r="N50" s="10" t="n">
        <v>116</v>
      </c>
      <c r="O50" s="11">
        <f>N50/$D$50</f>
        <v/>
      </c>
      <c r="P50" s="10">
        <f>Q50-N50</f>
        <v/>
      </c>
      <c r="Q50" s="10" t="n">
        <v>115</v>
      </c>
      <c r="R50" s="11">
        <f>Q50/$D$50</f>
        <v/>
      </c>
      <c r="S50" s="12">
        <f>T50-Q50</f>
        <v/>
      </c>
      <c r="T50" s="12" t="n">
        <v>115</v>
      </c>
      <c r="U50" s="13">
        <f>T50/$D$50</f>
        <v/>
      </c>
      <c r="V50" s="8" t="inlineStr"/>
    </row>
    <row r="51">
      <c r="A51" s="7" t="n">
        <v>47</v>
      </c>
      <c r="B51" s="8" t="inlineStr">
        <is>
          <t>Residensi Lili @ Setia Indah</t>
        </is>
      </c>
      <c r="C51" s="9" t="n">
        <v>46076</v>
      </c>
      <c r="D51" s="10" t="n">
        <v>108</v>
      </c>
      <c r="E51" s="7" t="inlineStr">
        <is>
          <t>8118-79</t>
        </is>
      </c>
      <c r="F51" s="8" t="inlineStr">
        <is>
          <t>SETIA INDAH SDN. BHD.</t>
        </is>
      </c>
      <c r="G51" s="10" t="n"/>
      <c r="H51" s="10" t="n">
        <v>0</v>
      </c>
      <c r="I51" s="11">
        <f>H51/$D$51</f>
        <v/>
      </c>
      <c r="J51" s="10">
        <f>K51-H51</f>
        <v/>
      </c>
      <c r="K51" s="10" t="n">
        <v>0</v>
      </c>
      <c r="L51" s="11">
        <f>K51/$D$51</f>
        <v/>
      </c>
      <c r="M51" s="10">
        <f>N51-K51</f>
        <v/>
      </c>
      <c r="N51" s="10" t="n">
        <v>0</v>
      </c>
      <c r="O51" s="11">
        <f>N51/$D$51</f>
        <v/>
      </c>
      <c r="P51" s="10">
        <f>Q51-N51</f>
        <v/>
      </c>
      <c r="Q51" s="10" t="n">
        <v>0</v>
      </c>
      <c r="R51" s="11">
        <f>Q51/$D$51</f>
        <v/>
      </c>
      <c r="S51" s="12">
        <f>T51-Q51</f>
        <v/>
      </c>
      <c r="T51" s="12" t="n">
        <v>0</v>
      </c>
      <c r="U51" s="13">
        <f>T51/$D$51</f>
        <v/>
      </c>
      <c r="V51" s="8" t="inlineStr"/>
    </row>
    <row r="52">
      <c r="A52" s="7" t="n">
        <v>48</v>
      </c>
      <c r="B52" s="8" t="inlineStr">
        <is>
          <t>Summera Grove @ Setia Indah</t>
        </is>
      </c>
      <c r="C52" s="9" t="n">
        <v>46087</v>
      </c>
      <c r="D52" s="10" t="n">
        <v>203</v>
      </c>
      <c r="E52" s="7" t="inlineStr">
        <is>
          <t>8118-80</t>
        </is>
      </c>
      <c r="F52" s="8" t="inlineStr">
        <is>
          <t>SETIA INDAH SDN. BHD.</t>
        </is>
      </c>
      <c r="G52" s="10" t="n"/>
      <c r="H52" s="10" t="n">
        <v>102</v>
      </c>
      <c r="I52" s="11">
        <f>H52/$D$52</f>
        <v/>
      </c>
      <c r="J52" s="10">
        <f>K52-H52</f>
        <v/>
      </c>
      <c r="K52" s="10" t="n">
        <v>102</v>
      </c>
      <c r="L52" s="11">
        <f>K52/$D$52</f>
        <v/>
      </c>
      <c r="M52" s="10">
        <f>N52-K52</f>
        <v/>
      </c>
      <c r="N52" s="10" t="n">
        <v>104</v>
      </c>
      <c r="O52" s="11">
        <f>N52/$D$52</f>
        <v/>
      </c>
      <c r="P52" s="10">
        <f>Q52-N52</f>
        <v/>
      </c>
      <c r="Q52" s="10" t="n">
        <v>106</v>
      </c>
      <c r="R52" s="11">
        <f>Q52/$D$52</f>
        <v/>
      </c>
      <c r="S52" s="12">
        <f>T52-Q52</f>
        <v/>
      </c>
      <c r="T52" s="12" t="n">
        <v>106</v>
      </c>
      <c r="U52" s="13">
        <f>T52/$D$52</f>
        <v/>
      </c>
      <c r="V52" s="8" t="inlineStr"/>
    </row>
    <row r="53">
      <c r="A53" s="7" t="n">
        <v>49</v>
      </c>
      <c r="B53" s="8" t="inlineStr">
        <is>
          <t>Sapphire Elan @ Setia Indah</t>
        </is>
      </c>
      <c r="C53" s="9" t="n">
        <v>46136</v>
      </c>
      <c r="D53" s="10" t="n">
        <v>27</v>
      </c>
      <c r="E53" s="7" t="inlineStr">
        <is>
          <t>8118-81</t>
        </is>
      </c>
      <c r="F53" s="8" t="inlineStr">
        <is>
          <t>SETIA INDAH SDN. BHD.</t>
        </is>
      </c>
      <c r="G53" s="10" t="n"/>
      <c r="H53" s="10" t="n">
        <v>8</v>
      </c>
      <c r="I53" s="11">
        <f>H53/$D$53</f>
        <v/>
      </c>
      <c r="J53" s="10">
        <f>K53-H53</f>
        <v/>
      </c>
      <c r="K53" s="10" t="n">
        <v>8</v>
      </c>
      <c r="L53" s="11">
        <f>K53/$D$53</f>
        <v/>
      </c>
      <c r="M53" s="10">
        <f>N53-K53</f>
        <v/>
      </c>
      <c r="N53" s="10" t="n">
        <v>8</v>
      </c>
      <c r="O53" s="11">
        <f>N53/$D$53</f>
        <v/>
      </c>
      <c r="P53" s="10">
        <f>Q53-N53</f>
        <v/>
      </c>
      <c r="Q53" s="10" t="n">
        <v>8</v>
      </c>
      <c r="R53" s="11">
        <f>Q53/$D$53</f>
        <v/>
      </c>
      <c r="S53" s="12">
        <f>T53-Q53</f>
        <v/>
      </c>
      <c r="T53" s="12" t="n">
        <v>8</v>
      </c>
      <c r="U53" s="13">
        <f>T53/$D$53</f>
        <v/>
      </c>
      <c r="V53" s="8" t="inlineStr"/>
    </row>
    <row r="54">
      <c r="A54" s="7" t="n">
        <v>50</v>
      </c>
      <c r="B54" s="8" t="inlineStr">
        <is>
          <t>Laman Danau @ Setia Indah</t>
        </is>
      </c>
      <c r="C54" s="9" t="n">
        <v>46241</v>
      </c>
      <c r="D54" s="10" t="n">
        <v>88</v>
      </c>
      <c r="E54" s="7" t="inlineStr">
        <is>
          <t>8118-82</t>
        </is>
      </c>
      <c r="F54" s="8" t="inlineStr">
        <is>
          <t>SETIA INDAH SDN. BHD.</t>
        </is>
      </c>
      <c r="G54" s="10" t="n"/>
      <c r="H54" s="10" t="n">
        <v>0</v>
      </c>
      <c r="I54" s="11">
        <f>H54/$D$54</f>
        <v/>
      </c>
      <c r="J54" s="10">
        <f>K54-H54</f>
        <v/>
      </c>
      <c r="K54" s="10" t="n">
        <v>0</v>
      </c>
      <c r="L54" s="11">
        <f>K54/$D$54</f>
        <v/>
      </c>
      <c r="M54" s="10">
        <f>N54-K54</f>
        <v/>
      </c>
      <c r="N54" s="10" t="n">
        <v>0</v>
      </c>
      <c r="O54" s="11">
        <f>N54/$D$54</f>
        <v/>
      </c>
      <c r="P54" s="10">
        <f>Q54-N54</f>
        <v/>
      </c>
      <c r="Q54" s="10" t="n">
        <v>0</v>
      </c>
      <c r="R54" s="11">
        <f>Q54/$D$54</f>
        <v/>
      </c>
      <c r="S54" s="12">
        <f>T54-Q54</f>
        <v/>
      </c>
      <c r="T54" s="12" t="n">
        <v>0</v>
      </c>
      <c r="U54" s="13">
        <f>T54/$D$54</f>
        <v/>
      </c>
      <c r="V54" s="8" t="inlineStr"/>
    </row>
    <row r="55">
      <c r="A55" s="7" t="n">
        <v>51</v>
      </c>
      <c r="B55" s="8" t="inlineStr">
        <is>
          <t>Duta Villa @ Setia Alam</t>
        </is>
      </c>
      <c r="C55" s="9" t="n">
        <v>45072</v>
      </c>
      <c r="D55" s="10" t="n">
        <v>68</v>
      </c>
      <c r="E55" s="7" t="inlineStr">
        <is>
          <t>9246-123</t>
        </is>
      </c>
      <c r="F55" s="8" t="inlineStr">
        <is>
          <t>BANDAR SETIA ALAM SDN. BHD.</t>
        </is>
      </c>
      <c r="G55" s="10" t="n"/>
      <c r="H55" s="10" t="n">
        <v>27</v>
      </c>
      <c r="I55" s="11">
        <f>H55/$D$55</f>
        <v/>
      </c>
      <c r="J55" s="10">
        <f>K55-H55</f>
        <v/>
      </c>
      <c r="K55" s="10" t="n">
        <v>28</v>
      </c>
      <c r="L55" s="11">
        <f>K55/$D$55</f>
        <v/>
      </c>
      <c r="M55" s="10">
        <f>N55-K55</f>
        <v/>
      </c>
      <c r="N55" s="10" t="n">
        <v>29</v>
      </c>
      <c r="O55" s="11">
        <f>N55/$D$55</f>
        <v/>
      </c>
      <c r="P55" s="10">
        <f>Q55-N55</f>
        <v/>
      </c>
      <c r="Q55" s="10" t="n">
        <v>29</v>
      </c>
      <c r="R55" s="11">
        <f>Q55/$D$55</f>
        <v/>
      </c>
      <c r="S55" s="12">
        <f>T55-Q55</f>
        <v/>
      </c>
      <c r="T55" s="12" t="n">
        <v>29</v>
      </c>
      <c r="U55" s="13">
        <f>T55/$D$55</f>
        <v/>
      </c>
      <c r="V55" s="8" t="inlineStr"/>
    </row>
    <row r="56">
      <c r="A56" s="7" t="n">
        <v>52</v>
      </c>
      <c r="B56" s="8" t="inlineStr">
        <is>
          <t>Setia Alam township</t>
        </is>
      </c>
      <c r="C56" s="9" t="n">
        <v>45198</v>
      </c>
      <c r="D56" s="10" t="n">
        <v>102</v>
      </c>
      <c r="E56" s="7" t="inlineStr">
        <is>
          <t>9246-124</t>
        </is>
      </c>
      <c r="F56" s="8" t="inlineStr">
        <is>
          <t>BANDAR SETIA ALAM SDN. BHD.</t>
        </is>
      </c>
      <c r="G56" s="10" t="n"/>
      <c r="H56" s="10" t="n">
        <v>94</v>
      </c>
      <c r="I56" s="11">
        <f>H56/$D$56</f>
        <v/>
      </c>
      <c r="J56" s="10">
        <f>K56-H56</f>
        <v/>
      </c>
      <c r="K56" s="10" t="n">
        <v>94</v>
      </c>
      <c r="L56" s="11">
        <f>K56/$D$56</f>
        <v/>
      </c>
      <c r="M56" s="10">
        <f>N56-K56</f>
        <v/>
      </c>
      <c r="N56" s="10" t="n">
        <v>94</v>
      </c>
      <c r="O56" s="11">
        <f>N56/$D$56</f>
        <v/>
      </c>
      <c r="P56" s="10">
        <f>Q56-N56</f>
        <v/>
      </c>
      <c r="Q56" s="10" t="n">
        <v>94</v>
      </c>
      <c r="R56" s="11">
        <f>Q56/$D$56</f>
        <v/>
      </c>
      <c r="S56" s="12">
        <f>T56-Q56</f>
        <v/>
      </c>
      <c r="T56" s="12" t="n">
        <v>94</v>
      </c>
      <c r="U56" s="13">
        <f>T56/$D$56</f>
        <v/>
      </c>
      <c r="V56" s="8" t="inlineStr"/>
    </row>
    <row r="57">
      <c r="A57" s="7" t="n">
        <v>53</v>
      </c>
      <c r="B57" s="8" t="inlineStr">
        <is>
          <t>Le Jardin @ Setia Alam</t>
        </is>
      </c>
      <c r="C57" s="9" t="n">
        <v>45545</v>
      </c>
      <c r="D57" s="10" t="n">
        <v>72</v>
      </c>
      <c r="E57" s="7" t="inlineStr">
        <is>
          <t>9246-125</t>
        </is>
      </c>
      <c r="F57" s="8" t="inlineStr">
        <is>
          <t>BANDAR SETIA ALAM SDN. BHD.</t>
        </is>
      </c>
      <c r="G57" s="10" t="n"/>
      <c r="H57" s="10" t="n">
        <v>45</v>
      </c>
      <c r="I57" s="11">
        <f>H57/$D$57</f>
        <v/>
      </c>
      <c r="J57" s="10">
        <f>K57-H57</f>
        <v/>
      </c>
      <c r="K57" s="10" t="n">
        <v>45</v>
      </c>
      <c r="L57" s="11">
        <f>K57/$D$57</f>
        <v/>
      </c>
      <c r="M57" s="10">
        <f>N57-K57</f>
        <v/>
      </c>
      <c r="N57" s="10" t="n">
        <v>46</v>
      </c>
      <c r="O57" s="11">
        <f>N57/$D$57</f>
        <v/>
      </c>
      <c r="P57" s="10">
        <f>Q57-N57</f>
        <v/>
      </c>
      <c r="Q57" s="10" t="n">
        <v>46</v>
      </c>
      <c r="R57" s="11">
        <f>Q57/$D$57</f>
        <v/>
      </c>
      <c r="S57" s="12">
        <f>T57-Q57</f>
        <v/>
      </c>
      <c r="T57" s="12" t="n">
        <v>46</v>
      </c>
      <c r="U57" s="13">
        <f>T57/$D$57</f>
        <v/>
      </c>
      <c r="V57" s="8" t="inlineStr"/>
    </row>
    <row r="58">
      <c r="A58" s="7" t="n">
        <v>54</v>
      </c>
      <c r="B58" s="8" t="inlineStr">
        <is>
          <t>Musika Homes @ Setia Alam</t>
        </is>
      </c>
      <c r="C58" s="9" t="n">
        <v>45945</v>
      </c>
      <c r="D58" s="10" t="n">
        <v>100</v>
      </c>
      <c r="E58" s="7" t="inlineStr">
        <is>
          <t>9246-126</t>
        </is>
      </c>
      <c r="F58" s="8" t="inlineStr">
        <is>
          <t>BANDAR SETIA ALAM SDN. BHD.</t>
        </is>
      </c>
      <c r="G58" s="10" t="n"/>
      <c r="H58" s="10" t="n">
        <v>23</v>
      </c>
      <c r="I58" s="11">
        <f>H58/$D$58</f>
        <v/>
      </c>
      <c r="J58" s="10">
        <f>K58-H58</f>
        <v/>
      </c>
      <c r="K58" s="10" t="n">
        <v>24</v>
      </c>
      <c r="L58" s="11">
        <f>K58/$D$58</f>
        <v/>
      </c>
      <c r="M58" s="10">
        <f>N58-K58</f>
        <v/>
      </c>
      <c r="N58" s="10" t="n">
        <v>26</v>
      </c>
      <c r="O58" s="11">
        <f>N58/$D$58</f>
        <v/>
      </c>
      <c r="P58" s="10">
        <f>Q58-N58</f>
        <v/>
      </c>
      <c r="Q58" s="10" t="n">
        <v>27</v>
      </c>
      <c r="R58" s="11">
        <f>Q58/$D$58</f>
        <v/>
      </c>
      <c r="S58" s="12">
        <f>T58-Q58</f>
        <v/>
      </c>
      <c r="T58" s="12" t="n">
        <v>27</v>
      </c>
      <c r="U58" s="13">
        <f>T58/$D$58</f>
        <v/>
      </c>
      <c r="V58" s="8" t="inlineStr"/>
    </row>
    <row r="59">
      <c r="A59" s="7" t="n">
        <v>55</v>
      </c>
      <c r="B59" s="8" t="inlineStr">
        <is>
          <t>Forestree @ Setia Eco Park</t>
        </is>
      </c>
      <c r="C59" s="9" t="n">
        <v>45548</v>
      </c>
      <c r="D59" s="10" t="n">
        <v>19</v>
      </c>
      <c r="E59" s="7" t="inlineStr">
        <is>
          <t>9586-34</t>
        </is>
      </c>
      <c r="F59" s="8" t="inlineStr">
        <is>
          <t>BANDAR ECO-SETIA SDN. BHD.</t>
        </is>
      </c>
      <c r="G59" s="10" t="n"/>
      <c r="H59" s="10" t="n">
        <v>19</v>
      </c>
      <c r="I59" s="11">
        <f>H59/$D$59</f>
        <v/>
      </c>
      <c r="J59" s="10">
        <f>K59-H59</f>
        <v/>
      </c>
      <c r="K59" s="10" t="n">
        <v>18</v>
      </c>
      <c r="L59" s="11">
        <f>K59/$D$59</f>
        <v/>
      </c>
      <c r="M59" s="10">
        <f>N59-K59</f>
        <v/>
      </c>
      <c r="N59" s="10" t="n">
        <v>18</v>
      </c>
      <c r="O59" s="11">
        <f>N59/$D$59</f>
        <v/>
      </c>
      <c r="P59" s="10">
        <f>Q59-N59</f>
        <v/>
      </c>
      <c r="Q59" s="10" t="n">
        <v>18</v>
      </c>
      <c r="R59" s="11">
        <f>Q59/$D$59</f>
        <v/>
      </c>
      <c r="S59" s="12">
        <f>T59-Q59</f>
        <v/>
      </c>
      <c r="T59" s="12" t="n">
        <v>18</v>
      </c>
      <c r="U59" s="13">
        <f>T59/$D$59</f>
        <v/>
      </c>
      <c r="V59" s="8" t="inlineStr"/>
    </row>
    <row r="60">
      <c r="A60" s="7" t="n">
        <v>56</v>
      </c>
      <c r="B60" s="8" t="inlineStr">
        <is>
          <t>Robin Cove @ Setia Eco Park</t>
        </is>
      </c>
      <c r="C60" s="9" t="n">
        <v>45653</v>
      </c>
      <c r="D60" s="10" t="n">
        <v>11</v>
      </c>
      <c r="E60" s="7" t="inlineStr">
        <is>
          <t>9586-35</t>
        </is>
      </c>
      <c r="F60" s="8" t="inlineStr">
        <is>
          <t>BANDAR ECO-SETIA SDN. BHD.</t>
        </is>
      </c>
      <c r="G60" s="10" t="n"/>
      <c r="H60" s="10" t="n">
        <v>11</v>
      </c>
      <c r="I60" s="11">
        <f>H60/$D$60</f>
        <v/>
      </c>
      <c r="J60" s="10">
        <f>K60-H60</f>
        <v/>
      </c>
      <c r="K60" s="10" t="n">
        <v>11</v>
      </c>
      <c r="L60" s="11">
        <f>K60/$D$60</f>
        <v/>
      </c>
      <c r="M60" s="10">
        <f>N60-K60</f>
        <v/>
      </c>
      <c r="N60" s="10" t="n">
        <v>11</v>
      </c>
      <c r="O60" s="11">
        <f>N60/$D$60</f>
        <v/>
      </c>
      <c r="P60" s="10">
        <f>Q60-N60</f>
        <v/>
      </c>
      <c r="Q60" s="10" t="n">
        <v>11</v>
      </c>
      <c r="R60" s="11">
        <f>Q60/$D$60</f>
        <v/>
      </c>
      <c r="S60" s="12">
        <f>T60-Q60</f>
        <v/>
      </c>
      <c r="T60" s="12" t="n">
        <v>11</v>
      </c>
      <c r="U60" s="13">
        <f>T60/$D$60</f>
        <v/>
      </c>
      <c r="V60" s="8" t="inlineStr"/>
    </row>
    <row r="61">
      <c r="A61" s="7" t="n">
        <v>57</v>
      </c>
      <c r="B61" s="8" t="inlineStr">
        <is>
          <t>Robin Cove @ Setia Eco Park</t>
        </is>
      </c>
      <c r="C61" s="9" t="n">
        <v>45786</v>
      </c>
      <c r="D61" s="10" t="n">
        <v>29</v>
      </c>
      <c r="E61" s="7" t="inlineStr">
        <is>
          <t>9586-36</t>
        </is>
      </c>
      <c r="F61" s="8" t="inlineStr">
        <is>
          <t>BANDAR ECO-SETIA SDN. BHD.</t>
        </is>
      </c>
      <c r="G61" s="10" t="n"/>
      <c r="H61" s="10" t="n">
        <v>29</v>
      </c>
      <c r="I61" s="11">
        <f>H61/$D$61</f>
        <v/>
      </c>
      <c r="J61" s="10">
        <f>K61-H61</f>
        <v/>
      </c>
      <c r="K61" s="10" t="n">
        <v>29</v>
      </c>
      <c r="L61" s="11">
        <f>K61/$D$61</f>
        <v/>
      </c>
      <c r="M61" s="10">
        <f>N61-K61</f>
        <v/>
      </c>
      <c r="N61" s="10" t="n">
        <v>29</v>
      </c>
      <c r="O61" s="11">
        <f>N61/$D$61</f>
        <v/>
      </c>
      <c r="P61" s="10">
        <f>Q61-N61</f>
        <v/>
      </c>
      <c r="Q61" s="10" t="n">
        <v>29</v>
      </c>
      <c r="R61" s="11">
        <f>Q61/$D$61</f>
        <v/>
      </c>
      <c r="S61" s="12">
        <f>T61-Q61</f>
        <v/>
      </c>
      <c r="T61" s="12" t="n">
        <v>29</v>
      </c>
      <c r="U61" s="13">
        <f>T61/$D$61</f>
        <v/>
      </c>
      <c r="V61" s="8" t="inlineStr"/>
    </row>
    <row r="62">
      <c r="A62" s="7" t="n">
        <v>58</v>
      </c>
      <c r="B62" s="8" t="inlineStr">
        <is>
          <t>Kingfisher @ Setia Alam</t>
        </is>
      </c>
      <c r="C62" s="9" t="n">
        <v>46022</v>
      </c>
      <c r="D62" s="10" t="n">
        <v>67</v>
      </c>
      <c r="E62" s="7" t="inlineStr">
        <is>
          <t>9586-37</t>
        </is>
      </c>
      <c r="F62" s="8" t="inlineStr">
        <is>
          <t>BANDAR ECO-SETIA SDN. BHD.</t>
        </is>
      </c>
      <c r="G62" s="10" t="n"/>
      <c r="H62" s="10" t="n">
        <v>52</v>
      </c>
      <c r="I62" s="11">
        <f>H62/$D$62</f>
        <v/>
      </c>
      <c r="J62" s="10">
        <f>K62-H62</f>
        <v/>
      </c>
      <c r="K62" s="10" t="n">
        <v>52</v>
      </c>
      <c r="L62" s="11">
        <f>K62/$D$62</f>
        <v/>
      </c>
      <c r="M62" s="10">
        <f>N62-K62</f>
        <v/>
      </c>
      <c r="N62" s="10" t="n">
        <v>56</v>
      </c>
      <c r="O62" s="11">
        <f>N62/$D$62</f>
        <v/>
      </c>
      <c r="P62" s="10">
        <f>Q62-N62</f>
        <v/>
      </c>
      <c r="Q62" s="10" t="n">
        <v>59</v>
      </c>
      <c r="R62" s="11">
        <f>Q62/$D$62</f>
        <v/>
      </c>
      <c r="S62" s="12">
        <f>T62-Q62</f>
        <v/>
      </c>
      <c r="T62" s="12" t="n">
        <v>59</v>
      </c>
      <c r="U62" s="13">
        <f>T62/$D$62</f>
        <v/>
      </c>
      <c r="V62" s="8" t="inlineStr"/>
    </row>
    <row r="63">
      <c r="A63" s="7" t="n">
        <v>59</v>
      </c>
      <c r="B63" s="8" t="inlineStr">
        <is>
          <t>Setia Bayuemas</t>
        </is>
      </c>
      <c r="C63" s="9" t="n">
        <v>45259</v>
      </c>
      <c r="D63" s="10" t="n">
        <v>83</v>
      </c>
      <c r="E63" s="7" t="inlineStr">
        <is>
          <t>9796-21</t>
        </is>
      </c>
      <c r="F63" s="8" t="inlineStr">
        <is>
          <t>I &amp; P KOTA BAYUEMAS SDN. BHD.</t>
        </is>
      </c>
      <c r="G63" s="10" t="n"/>
      <c r="H63" s="10" t="n">
        <v>77</v>
      </c>
      <c r="I63" s="11">
        <f>H63/$D$63</f>
        <v/>
      </c>
      <c r="J63" s="10">
        <f>K63-H63</f>
        <v/>
      </c>
      <c r="K63" s="10" t="n">
        <v>77</v>
      </c>
      <c r="L63" s="11">
        <f>K63/$D$63</f>
        <v/>
      </c>
      <c r="M63" s="10">
        <f>N63-K63</f>
        <v/>
      </c>
      <c r="N63" s="10" t="n">
        <v>77</v>
      </c>
      <c r="O63" s="11">
        <f>N63/$D$63</f>
        <v/>
      </c>
      <c r="P63" s="10">
        <f>Q63-N63</f>
        <v/>
      </c>
      <c r="Q63" s="10" t="n">
        <v>77</v>
      </c>
      <c r="R63" s="11">
        <f>Q63/$D$63</f>
        <v/>
      </c>
      <c r="S63" s="12">
        <f>T63-Q63</f>
        <v/>
      </c>
      <c r="T63" s="12" t="n">
        <v>77</v>
      </c>
      <c r="U63" s="13">
        <f>T63/$D$63</f>
        <v/>
      </c>
      <c r="V63" s="8" t="inlineStr"/>
    </row>
    <row r="64">
      <c r="A64" s="7" t="n">
        <v>60</v>
      </c>
      <c r="B64" s="8" t="inlineStr">
        <is>
          <t>Setia Bayuemas</t>
        </is>
      </c>
      <c r="C64" s="9" t="n">
        <v>45266</v>
      </c>
      <c r="D64" s="10" t="n">
        <v>42</v>
      </c>
      <c r="E64" s="7" t="inlineStr">
        <is>
          <t>9796-22</t>
        </is>
      </c>
      <c r="F64" s="8" t="inlineStr">
        <is>
          <t>I &amp; P KOTA BAYUEMAS SDN. BHD.</t>
        </is>
      </c>
      <c r="G64" s="10" t="n"/>
      <c r="H64" s="10" t="n">
        <v>13</v>
      </c>
      <c r="I64" s="11">
        <f>H64/$D$64</f>
        <v/>
      </c>
      <c r="J64" s="10">
        <f>K64-H64</f>
        <v/>
      </c>
      <c r="K64" s="10" t="n">
        <v>13</v>
      </c>
      <c r="L64" s="11">
        <f>K64/$D$64</f>
        <v/>
      </c>
      <c r="M64" s="10">
        <f>N64-K64</f>
        <v/>
      </c>
      <c r="N64" s="10" t="n">
        <v>13</v>
      </c>
      <c r="O64" s="11">
        <f>N64/$D$64</f>
        <v/>
      </c>
      <c r="P64" s="10">
        <f>Q64-N64</f>
        <v/>
      </c>
      <c r="Q64" s="10" t="n">
        <v>13</v>
      </c>
      <c r="R64" s="11">
        <f>Q64/$D$64</f>
        <v/>
      </c>
      <c r="S64" s="12">
        <f>T64-Q64</f>
        <v/>
      </c>
      <c r="T64" s="12" t="n">
        <v>13</v>
      </c>
      <c r="U64" s="13">
        <f>T64/$D$64</f>
        <v/>
      </c>
      <c r="V64" s="8" t="inlineStr"/>
    </row>
    <row r="65">
      <c r="A65" s="7" t="n">
        <v>61</v>
      </c>
      <c r="B65" s="8" t="inlineStr">
        <is>
          <t>Setia Bayuemas</t>
        </is>
      </c>
      <c r="C65" s="9" t="n">
        <v>45523</v>
      </c>
      <c r="D65" s="10" t="n">
        <v>95</v>
      </c>
      <c r="E65" s="7" t="inlineStr">
        <is>
          <t>9796-23</t>
        </is>
      </c>
      <c r="F65" s="8" t="inlineStr">
        <is>
          <t>I &amp; P KOTA BAYUEMAS SDN. BHD.</t>
        </is>
      </c>
      <c r="G65" s="10" t="n"/>
      <c r="H65" s="10" t="n">
        <v>80</v>
      </c>
      <c r="I65" s="11">
        <f>H65/$D$65</f>
        <v/>
      </c>
      <c r="J65" s="10">
        <f>K65-H65</f>
        <v/>
      </c>
      <c r="K65" s="10" t="n">
        <v>80</v>
      </c>
      <c r="L65" s="11">
        <f>K65/$D$65</f>
        <v/>
      </c>
      <c r="M65" s="10">
        <f>N65-K65</f>
        <v/>
      </c>
      <c r="N65" s="10" t="n">
        <v>80</v>
      </c>
      <c r="O65" s="11">
        <f>N65/$D$65</f>
        <v/>
      </c>
      <c r="P65" s="10">
        <f>Q65-N65</f>
        <v/>
      </c>
      <c r="Q65" s="10" t="n">
        <v>80</v>
      </c>
      <c r="R65" s="11">
        <f>Q65/$D$65</f>
        <v/>
      </c>
      <c r="S65" s="12">
        <f>T65-Q65</f>
        <v/>
      </c>
      <c r="T65" s="12" t="n">
        <v>80</v>
      </c>
      <c r="U65" s="13">
        <f>T65/$D$65</f>
        <v/>
      </c>
      <c r="V65" s="8" t="inlineStr"/>
    </row>
    <row r="66">
      <c r="A66" s="7" t="n">
        <v>62</v>
      </c>
      <c r="B66" s="8" t="inlineStr">
        <is>
          <t>Setia Bayuemas</t>
        </is>
      </c>
      <c r="C66" s="9" t="n">
        <v>45609</v>
      </c>
      <c r="D66" s="10" t="n">
        <v>38</v>
      </c>
      <c r="E66" s="7" t="inlineStr">
        <is>
          <t>9796-24</t>
        </is>
      </c>
      <c r="F66" s="8" t="inlineStr">
        <is>
          <t>I &amp; P KOTA BAYUEMAS SDN. BHD.</t>
        </is>
      </c>
      <c r="G66" s="10" t="n"/>
      <c r="H66" s="10" t="n">
        <v>13</v>
      </c>
      <c r="I66" s="11">
        <f>H66/$D$66</f>
        <v/>
      </c>
      <c r="J66" s="10">
        <f>K66-H66</f>
        <v/>
      </c>
      <c r="K66" s="10" t="n">
        <v>13</v>
      </c>
      <c r="L66" s="11">
        <f>K66/$D$66</f>
        <v/>
      </c>
      <c r="M66" s="10">
        <f>N66-K66</f>
        <v/>
      </c>
      <c r="N66" s="10" t="n">
        <v>13</v>
      </c>
      <c r="O66" s="11">
        <f>N66/$D$66</f>
        <v/>
      </c>
      <c r="P66" s="10">
        <f>Q66-N66</f>
        <v/>
      </c>
      <c r="Q66" s="10" t="n">
        <v>13</v>
      </c>
      <c r="R66" s="11">
        <f>Q66/$D$66</f>
        <v/>
      </c>
      <c r="S66" s="12">
        <f>T66-Q66</f>
        <v/>
      </c>
      <c r="T66" s="12" t="n">
        <v>13</v>
      </c>
      <c r="U66" s="13">
        <f>T66/$D$66</f>
        <v/>
      </c>
      <c r="V66" s="8" t="inlineStr"/>
    </row>
    <row r="67">
      <c r="A67" s="7" t="n">
        <v>63</v>
      </c>
      <c r="B67" s="8" t="inlineStr">
        <is>
          <t>Pangsapuri Bayu Impian (RSKU) @ Setia Bayuemas</t>
        </is>
      </c>
      <c r="C67" s="9" t="n">
        <v>45791</v>
      </c>
      <c r="D67" s="10" t="n">
        <v>561</v>
      </c>
      <c r="E67" s="7" t="inlineStr">
        <is>
          <t>9796-25</t>
        </is>
      </c>
      <c r="F67" s="8" t="inlineStr">
        <is>
          <t>I &amp; P KOTA BAYUEMAS SDN. BHD.</t>
        </is>
      </c>
      <c r="G67" s="10" t="n"/>
      <c r="H67" s="10" t="n">
        <v>233</v>
      </c>
      <c r="I67" s="11">
        <f>H67/$D$67</f>
        <v/>
      </c>
      <c r="J67" s="10">
        <f>K67-H67</f>
        <v/>
      </c>
      <c r="K67" s="10" t="n">
        <v>235</v>
      </c>
      <c r="L67" s="11">
        <f>K67/$D$67</f>
        <v/>
      </c>
      <c r="M67" s="10">
        <f>N67-K67</f>
        <v/>
      </c>
      <c r="N67" s="10" t="n">
        <v>237</v>
      </c>
      <c r="O67" s="11">
        <f>N67/$D$67</f>
        <v/>
      </c>
      <c r="P67" s="10">
        <f>Q67-N67</f>
        <v/>
      </c>
      <c r="Q67" s="10" t="n">
        <v>240</v>
      </c>
      <c r="R67" s="11">
        <f>Q67/$D$67</f>
        <v/>
      </c>
      <c r="S67" s="12">
        <f>T67-Q67</f>
        <v/>
      </c>
      <c r="T67" s="12" t="n">
        <v>241</v>
      </c>
      <c r="U67" s="13">
        <f>T67/$D$67</f>
        <v/>
      </c>
      <c r="V67" s="8" t="inlineStr">
        <is>
          <t>Latest sales - Block A: 149 units, Block B: 92 units</t>
        </is>
      </c>
    </row>
    <row r="68">
      <c r="A68" s="7" t="n">
        <v>64</v>
      </c>
      <c r="B68" s="8" t="inlineStr">
        <is>
          <t>Setia Bayuemas</t>
        </is>
      </c>
      <c r="C68" s="9" t="n">
        <v>45994</v>
      </c>
      <c r="D68" s="10" t="n">
        <v>82</v>
      </c>
      <c r="E68" s="7" t="inlineStr">
        <is>
          <t>9796-26</t>
        </is>
      </c>
      <c r="F68" s="8" t="inlineStr">
        <is>
          <t>I &amp; P KOTA BAYUEMAS SDN. BHD.</t>
        </is>
      </c>
      <c r="G68" s="10" t="n"/>
      <c r="H68" s="10" t="n">
        <v>27</v>
      </c>
      <c r="I68" s="11">
        <f>H68/$D$68</f>
        <v/>
      </c>
      <c r="J68" s="10">
        <f>K68-H68</f>
        <v/>
      </c>
      <c r="K68" s="10" t="n">
        <v>28</v>
      </c>
      <c r="L68" s="11">
        <f>K68/$D$68</f>
        <v/>
      </c>
      <c r="M68" s="10">
        <f>N68-K68</f>
        <v/>
      </c>
      <c r="N68" s="10" t="n">
        <v>30</v>
      </c>
      <c r="O68" s="11">
        <f>N68/$D$68</f>
        <v/>
      </c>
      <c r="P68" s="10">
        <f>Q68-N68</f>
        <v/>
      </c>
      <c r="Q68" s="10" t="n">
        <v>31</v>
      </c>
      <c r="R68" s="11">
        <f>Q68/$D$68</f>
        <v/>
      </c>
      <c r="S68" s="12">
        <f>T68-Q68</f>
        <v/>
      </c>
      <c r="T68" s="12" t="n">
        <v>32</v>
      </c>
      <c r="U68" s="13">
        <f>T68/$D$68</f>
        <v/>
      </c>
      <c r="V68" s="8" t="inlineStr"/>
    </row>
    <row r="69">
      <c r="A69" s="7" t="n">
        <v>65</v>
      </c>
      <c r="B69" s="8" t="inlineStr">
        <is>
          <t>Setia Bayuemas</t>
        </is>
      </c>
      <c r="C69" s="9" t="n">
        <v>46182</v>
      </c>
      <c r="D69" s="10" t="n">
        <v>69</v>
      </c>
      <c r="E69" s="7" t="inlineStr">
        <is>
          <t>9796-27</t>
        </is>
      </c>
      <c r="F69" s="8" t="inlineStr">
        <is>
          <t>I &amp; P KOTA BAYUEMAS SDN. BHD.</t>
        </is>
      </c>
      <c r="G69" s="10" t="n"/>
      <c r="H69" s="10" t="n">
        <v>1</v>
      </c>
      <c r="I69" s="11">
        <f>H69/$D$69</f>
        <v/>
      </c>
      <c r="J69" s="10">
        <f>K69-H69</f>
        <v/>
      </c>
      <c r="K69" s="10" t="n">
        <v>1</v>
      </c>
      <c r="L69" s="11">
        <f>K69/$D$69</f>
        <v/>
      </c>
      <c r="M69" s="10">
        <f>N69-K69</f>
        <v/>
      </c>
      <c r="N69" s="10" t="n">
        <v>1</v>
      </c>
      <c r="O69" s="11">
        <f>N69/$D$69</f>
        <v/>
      </c>
      <c r="P69" s="10">
        <f>Q69-N69</f>
        <v/>
      </c>
      <c r="Q69" s="10" t="n">
        <v>1</v>
      </c>
      <c r="R69" s="11">
        <f>Q69/$D$69</f>
        <v/>
      </c>
      <c r="S69" s="12">
        <f>T69-Q69</f>
        <v/>
      </c>
      <c r="T69" s="12" t="n">
        <v>1</v>
      </c>
      <c r="U69" s="13">
        <f>T69/$D$69</f>
        <v/>
      </c>
      <c r="V69" s="8" t="inlineStr"/>
    </row>
    <row r="70">
      <c r="A70" s="7" t="n">
        <v>66</v>
      </c>
      <c r="B70" s="8" t="inlineStr">
        <is>
          <t>Setia Alam Impian</t>
        </is>
      </c>
      <c r="C70" s="9" t="n">
        <v>45240</v>
      </c>
      <c r="D70" s="10" t="n">
        <v>116</v>
      </c>
      <c r="E70" s="7" t="inlineStr">
        <is>
          <t>9829-28</t>
        </is>
      </c>
      <c r="F70" s="8" t="inlineStr">
        <is>
          <t>I &amp; P ALAM IMPIAN SDN.BHD.</t>
        </is>
      </c>
      <c r="G70" s="10" t="n"/>
      <c r="H70" s="10" t="n">
        <v>115</v>
      </c>
      <c r="I70" s="11">
        <f>H70/$D$70</f>
        <v/>
      </c>
      <c r="J70" s="10">
        <f>K70-H70</f>
        <v/>
      </c>
      <c r="K70" s="10" t="n">
        <v>115</v>
      </c>
      <c r="L70" s="11">
        <f>K70/$D$70</f>
        <v/>
      </c>
      <c r="M70" s="10">
        <f>N70-K70</f>
        <v/>
      </c>
      <c r="N70" s="10" t="n">
        <v>115</v>
      </c>
      <c r="O70" s="11">
        <f>N70/$D$70</f>
        <v/>
      </c>
      <c r="P70" s="10">
        <f>Q70-N70</f>
        <v/>
      </c>
      <c r="Q70" s="10" t="n">
        <v>115</v>
      </c>
      <c r="R70" s="11">
        <f>Q70/$D$70</f>
        <v/>
      </c>
      <c r="S70" s="12">
        <f>T70-Q70</f>
        <v/>
      </c>
      <c r="T70" s="12" t="n">
        <v>115</v>
      </c>
      <c r="U70" s="13">
        <f>T70/$D$70</f>
        <v/>
      </c>
      <c r="V70" s="8" t="inlineStr"/>
    </row>
    <row r="71">
      <c r="A71" s="7" t="n">
        <v>67</v>
      </c>
      <c r="B71" s="8" t="inlineStr">
        <is>
          <t>Setia Alam Impian</t>
        </is>
      </c>
      <c r="C71" s="9" t="n">
        <v>45462</v>
      </c>
      <c r="D71" s="10" t="n">
        <v>60</v>
      </c>
      <c r="E71" s="7" t="inlineStr">
        <is>
          <t>9829-29</t>
        </is>
      </c>
      <c r="F71" s="8" t="inlineStr">
        <is>
          <t>I &amp; P ALAM IMPIAN SDN.BHD.</t>
        </is>
      </c>
      <c r="G71" s="10" t="n"/>
      <c r="H71" s="10" t="n">
        <v>33</v>
      </c>
      <c r="I71" s="11">
        <f>H71/$D$71</f>
        <v/>
      </c>
      <c r="J71" s="10">
        <f>K71-H71</f>
        <v/>
      </c>
      <c r="K71" s="10" t="n">
        <v>33</v>
      </c>
      <c r="L71" s="11">
        <f>K71/$D$71</f>
        <v/>
      </c>
      <c r="M71" s="10">
        <f>N71-K71</f>
        <v/>
      </c>
      <c r="N71" s="10" t="n">
        <v>33</v>
      </c>
      <c r="O71" s="11">
        <f>N71/$D$71</f>
        <v/>
      </c>
      <c r="P71" s="10">
        <f>Q71-N71</f>
        <v/>
      </c>
      <c r="Q71" s="10" t="n">
        <v>33</v>
      </c>
      <c r="R71" s="11">
        <f>Q71/$D$71</f>
        <v/>
      </c>
      <c r="S71" s="12">
        <f>T71-Q71</f>
        <v/>
      </c>
      <c r="T71" s="12" t="n">
        <v>33</v>
      </c>
      <c r="U71" s="13">
        <f>T71/$D$71</f>
        <v/>
      </c>
      <c r="V71" s="8" t="inlineStr"/>
    </row>
    <row r="72">
      <c r="A72" s="7" t="n">
        <v>68</v>
      </c>
      <c r="B72" s="8" t="inlineStr">
        <is>
          <t>Setia Alam Impian</t>
        </is>
      </c>
      <c r="C72" s="9" t="n">
        <v>45474</v>
      </c>
      <c r="D72" s="10" t="n">
        <v>101</v>
      </c>
      <c r="E72" s="7" t="inlineStr">
        <is>
          <t>9829-30</t>
        </is>
      </c>
      <c r="F72" s="8" t="inlineStr">
        <is>
          <t>I &amp; P ALAM IMPIAN SDN.BHD.</t>
        </is>
      </c>
      <c r="G72" s="10" t="n"/>
      <c r="H72" s="10" t="n">
        <v>84</v>
      </c>
      <c r="I72" s="11">
        <f>H72/$D$72</f>
        <v/>
      </c>
      <c r="J72" s="10">
        <f>K72-H72</f>
        <v/>
      </c>
      <c r="K72" s="10" t="n">
        <v>84</v>
      </c>
      <c r="L72" s="11">
        <f>K72/$D$72</f>
        <v/>
      </c>
      <c r="M72" s="10">
        <f>N72-K72</f>
        <v/>
      </c>
      <c r="N72" s="10" t="n">
        <v>84</v>
      </c>
      <c r="O72" s="11">
        <f>N72/$D$72</f>
        <v/>
      </c>
      <c r="P72" s="10">
        <f>Q72-N72</f>
        <v/>
      </c>
      <c r="Q72" s="10" t="n">
        <v>84</v>
      </c>
      <c r="R72" s="11">
        <f>Q72/$D$72</f>
        <v/>
      </c>
      <c r="S72" s="12">
        <f>T72-Q72</f>
        <v/>
      </c>
      <c r="T72" s="12" t="n">
        <v>84</v>
      </c>
      <c r="U72" s="13">
        <f>T72/$D$72</f>
        <v/>
      </c>
      <c r="V72" s="8" t="inlineStr"/>
    </row>
    <row r="73">
      <c r="A73" s="7" t="n">
        <v>69</v>
      </c>
      <c r="B73" s="8" t="inlineStr">
        <is>
          <t>Setia Alam Impian</t>
        </is>
      </c>
      <c r="C73" s="9" t="n">
        <v>45825</v>
      </c>
      <c r="D73" s="10" t="n">
        <v>70</v>
      </c>
      <c r="E73" s="7" t="inlineStr">
        <is>
          <t>9829-31</t>
        </is>
      </c>
      <c r="F73" s="8" t="inlineStr">
        <is>
          <t>I &amp; P ALAM IMPIAN SDN.BHD.</t>
        </is>
      </c>
      <c r="G73" s="10" t="n"/>
      <c r="H73" s="10" t="n">
        <v>40</v>
      </c>
      <c r="I73" s="11">
        <f>H73/$D$73</f>
        <v/>
      </c>
      <c r="J73" s="10">
        <f>K73-H73</f>
        <v/>
      </c>
      <c r="K73" s="10" t="n">
        <v>40</v>
      </c>
      <c r="L73" s="11">
        <f>K73/$D$73</f>
        <v/>
      </c>
      <c r="M73" s="10">
        <f>N73-K73</f>
        <v/>
      </c>
      <c r="N73" s="10" t="n">
        <v>40</v>
      </c>
      <c r="O73" s="11">
        <f>N73/$D$73</f>
        <v/>
      </c>
      <c r="P73" s="10">
        <f>Q73-N73</f>
        <v/>
      </c>
      <c r="Q73" s="10" t="n">
        <v>40</v>
      </c>
      <c r="R73" s="11">
        <f>Q73/$D$73</f>
        <v/>
      </c>
      <c r="S73" s="12">
        <f>T73-Q73</f>
        <v/>
      </c>
      <c r="T73" s="12" t="n">
        <v>42</v>
      </c>
      <c r="U73" s="13">
        <f>T73/$D$73</f>
        <v/>
      </c>
      <c r="V73" s="8" t="inlineStr"/>
    </row>
    <row r="74">
      <c r="A74" s="7" t="n">
        <v>70</v>
      </c>
      <c r="B74" s="8" t="inlineStr">
        <is>
          <t>Setia Alam Impian</t>
        </is>
      </c>
      <c r="C74" s="9" t="n">
        <v>45985</v>
      </c>
      <c r="D74" s="10" t="n">
        <v>40</v>
      </c>
      <c r="E74" s="7" t="inlineStr">
        <is>
          <t>9829-33</t>
        </is>
      </c>
      <c r="F74" s="8" t="inlineStr">
        <is>
          <t>I &amp; P ALAM IMPIAN SDN.BHD.</t>
        </is>
      </c>
      <c r="G74" s="10" t="n"/>
      <c r="H74" s="10" t="n">
        <v>6</v>
      </c>
      <c r="I74" s="11">
        <f>H74/$D$74</f>
        <v/>
      </c>
      <c r="J74" s="10">
        <f>K74-H74</f>
        <v/>
      </c>
      <c r="K74" s="10" t="n">
        <v>6</v>
      </c>
      <c r="L74" s="11">
        <f>K74/$D$74</f>
        <v/>
      </c>
      <c r="M74" s="10">
        <f>N74-K74</f>
        <v/>
      </c>
      <c r="N74" s="10" t="n">
        <v>6</v>
      </c>
      <c r="O74" s="11">
        <f>N74/$D$74</f>
        <v/>
      </c>
      <c r="P74" s="10">
        <f>Q74-N74</f>
        <v/>
      </c>
      <c r="Q74" s="10" t="n">
        <v>6</v>
      </c>
      <c r="R74" s="11">
        <f>Q74/$D$74</f>
        <v/>
      </c>
      <c r="S74" s="12">
        <f>T74-Q74</f>
        <v/>
      </c>
      <c r="T74" s="12" t="n">
        <v>6</v>
      </c>
      <c r="U74" s="13">
        <f>T74/$D$74</f>
        <v/>
      </c>
      <c r="V74" s="8" t="inlineStr"/>
    </row>
    <row r="75">
      <c r="A75" s="7" t="n">
        <v>71</v>
      </c>
      <c r="B75" s="8" t="inlineStr">
        <is>
          <t>Setia Alam Impian</t>
        </is>
      </c>
      <c r="C75" s="9" t="n">
        <v>46093</v>
      </c>
      <c r="D75" s="10" t="n">
        <v>146</v>
      </c>
      <c r="E75" s="7" t="inlineStr">
        <is>
          <t>9829-34</t>
        </is>
      </c>
      <c r="F75" s="8" t="inlineStr">
        <is>
          <t>I &amp; P ALAM IMPIAN SDN.BHD.</t>
        </is>
      </c>
      <c r="G75" s="10" t="n"/>
      <c r="H75" s="10" t="n">
        <v>32</v>
      </c>
      <c r="I75" s="11">
        <f>H75/$D$75</f>
        <v/>
      </c>
      <c r="J75" s="10">
        <f>K75-H75</f>
        <v/>
      </c>
      <c r="K75" s="10" t="n">
        <v>34</v>
      </c>
      <c r="L75" s="11">
        <f>K75/$D$75</f>
        <v/>
      </c>
      <c r="M75" s="10">
        <f>N75-K75</f>
        <v/>
      </c>
      <c r="N75" s="10" t="n">
        <v>35</v>
      </c>
      <c r="O75" s="11">
        <f>N75/$D$75</f>
        <v/>
      </c>
      <c r="P75" s="10">
        <f>Q75-N75</f>
        <v/>
      </c>
      <c r="Q75" s="10" t="n">
        <v>36</v>
      </c>
      <c r="R75" s="11">
        <f>Q75/$D$75</f>
        <v/>
      </c>
      <c r="S75" s="12">
        <f>T75-Q75</f>
        <v/>
      </c>
      <c r="T75" s="12" t="n">
        <v>37</v>
      </c>
      <c r="U75" s="13">
        <f>T75/$D$75</f>
        <v/>
      </c>
      <c r="V75" s="8" t="inlineStr"/>
    </row>
    <row r="76">
      <c r="A76" s="7" t="n">
        <v>72</v>
      </c>
      <c r="B76" s="8" t="inlineStr">
        <is>
          <t>Elysian @ Setia Alamsari</t>
        </is>
      </c>
      <c r="C76" s="9" t="n">
        <v>45846</v>
      </c>
      <c r="D76" s="10" t="n">
        <v>40</v>
      </c>
      <c r="E76" s="7" t="inlineStr">
        <is>
          <t>9851-25</t>
        </is>
      </c>
      <c r="F76" s="8" t="inlineStr">
        <is>
          <t>I &amp; P MENARA SDN.BHD.</t>
        </is>
      </c>
      <c r="G76" s="10" t="n"/>
      <c r="H76" s="10" t="n">
        <v>6</v>
      </c>
      <c r="I76" s="11">
        <f>H76/$D$76</f>
        <v/>
      </c>
      <c r="J76" s="10">
        <f>K76-H76</f>
        <v/>
      </c>
      <c r="K76" s="10" t="n">
        <v>6</v>
      </c>
      <c r="L76" s="11">
        <f>K76/$D$76</f>
        <v/>
      </c>
      <c r="M76" s="10">
        <f>N76-K76</f>
        <v/>
      </c>
      <c r="N76" s="10" t="n">
        <v>6</v>
      </c>
      <c r="O76" s="11">
        <f>N76/$D$76</f>
        <v/>
      </c>
      <c r="P76" s="10">
        <f>Q76-N76</f>
        <v/>
      </c>
      <c r="Q76" s="10" t="n">
        <v>6</v>
      </c>
      <c r="R76" s="11">
        <f>Q76/$D$76</f>
        <v/>
      </c>
      <c r="S76" s="12">
        <f>T76-Q76</f>
        <v/>
      </c>
      <c r="T76" s="12" t="n">
        <v>6</v>
      </c>
      <c r="U76" s="13">
        <f>T76/$D$76</f>
        <v/>
      </c>
      <c r="V76" s="8" t="inlineStr"/>
    </row>
    <row r="77">
      <c r="A77" s="7" t="n">
        <v>73</v>
      </c>
      <c r="B77" s="8" t="inlineStr">
        <is>
          <t>Laelia @ Setia Bayuemas</t>
        </is>
      </c>
      <c r="C77" s="9" t="n">
        <v>45131</v>
      </c>
      <c r="D77" s="10" t="n">
        <v>98</v>
      </c>
      <c r="E77" s="7" t="inlineStr">
        <is>
          <t>9796-19</t>
        </is>
      </c>
      <c r="F77" s="8" t="inlineStr"/>
      <c r="G77" s="10" t="n"/>
      <c r="H77" s="10" t="n">
        <v>89</v>
      </c>
      <c r="I77" s="11">
        <f>H77/$D$77</f>
        <v/>
      </c>
      <c r="J77" s="10">
        <f>K77-H77</f>
        <v/>
      </c>
      <c r="K77" s="10" t="n">
        <v>89</v>
      </c>
      <c r="L77" s="11">
        <f>K77/$D$77</f>
        <v/>
      </c>
      <c r="M77" s="10">
        <f>N77-K77</f>
        <v/>
      </c>
      <c r="N77" s="10" t="n">
        <v>89</v>
      </c>
      <c r="O77" s="11">
        <f>N77/$D$77</f>
        <v/>
      </c>
      <c r="P77" s="10">
        <f>Q77-N77</f>
        <v/>
      </c>
      <c r="Q77" s="10" t="n">
        <v>89</v>
      </c>
      <c r="R77" s="11">
        <f>Q77/$D$77</f>
        <v/>
      </c>
      <c r="S77" s="12">
        <f>T77-Q77</f>
        <v/>
      </c>
      <c r="T77" s="12" t="n">
        <v>89</v>
      </c>
      <c r="U77" s="13">
        <f>T77/$D$77</f>
        <v/>
      </c>
      <c r="V77" s="8" t="inlineStr"/>
    </row>
    <row r="78">
      <c r="A78" s="7" t="n">
        <v>74</v>
      </c>
      <c r="B78" s="8" t="inlineStr">
        <is>
          <t>Setia Eco Templer</t>
        </is>
      </c>
      <c r="C78" s="9" t="n">
        <v>42494</v>
      </c>
      <c r="D78" s="10" t="n">
        <v>234</v>
      </c>
      <c r="E78" s="7" t="inlineStr">
        <is>
          <t>14331-1</t>
        </is>
      </c>
      <c r="F78" s="8" t="inlineStr"/>
      <c r="G78" s="10" t="n"/>
      <c r="H78" s="10" t="n">
        <v>227</v>
      </c>
      <c r="I78" s="11">
        <f>H78/$D$78</f>
        <v/>
      </c>
      <c r="J78" s="10">
        <f>K78-H78</f>
        <v/>
      </c>
      <c r="K78" s="10" t="n">
        <v>227</v>
      </c>
      <c r="L78" s="11">
        <f>K78/$D$78</f>
        <v/>
      </c>
      <c r="M78" s="10">
        <f>N78-K78</f>
        <v/>
      </c>
      <c r="N78" s="10" t="n">
        <v>227</v>
      </c>
      <c r="O78" s="11">
        <f>N78/$D$78</f>
        <v/>
      </c>
      <c r="P78" s="10">
        <f>Q78-N78</f>
        <v/>
      </c>
      <c r="Q78" s="10" t="n">
        <v>227</v>
      </c>
      <c r="R78" s="11">
        <f>Q78/$D$78</f>
        <v/>
      </c>
      <c r="S78" s="12">
        <f>T78-Q78</f>
        <v/>
      </c>
      <c r="T78" s="12" t="n">
        <v>227</v>
      </c>
      <c r="U78" s="13">
        <f>T78/$D$78</f>
        <v/>
      </c>
      <c r="V78" s="8" t="inlineStr"/>
    </row>
    <row r="79">
      <c r="A79" s="7" t="n">
        <v>75</v>
      </c>
      <c r="B79" s="8" t="inlineStr">
        <is>
          <t>Setia Eco Templer</t>
        </is>
      </c>
      <c r="C79" s="9" t="n">
        <v>42789</v>
      </c>
      <c r="D79" s="10" t="n">
        <v>388</v>
      </c>
      <c r="E79" s="7" t="inlineStr">
        <is>
          <t>14331-2</t>
        </is>
      </c>
      <c r="F79" s="8" t="inlineStr"/>
      <c r="G79" s="10" t="n"/>
      <c r="H79" s="10" t="n">
        <v>0</v>
      </c>
      <c r="I79" s="11">
        <f>H79/$D$79</f>
        <v/>
      </c>
      <c r="J79" s="10">
        <f>K79-H79</f>
        <v/>
      </c>
      <c r="K79" s="10" t="n">
        <v>0</v>
      </c>
      <c r="L79" s="11">
        <f>K79/$D$79</f>
        <v/>
      </c>
      <c r="M79" s="10">
        <f>N79-K79</f>
        <v/>
      </c>
      <c r="N79" s="10" t="n">
        <v>0</v>
      </c>
      <c r="O79" s="11">
        <f>N79/$D$79</f>
        <v/>
      </c>
      <c r="P79" s="10">
        <f>Q79-N79</f>
        <v/>
      </c>
      <c r="Q79" s="10" t="n">
        <v>0</v>
      </c>
      <c r="R79" s="11">
        <f>Q79/$D$79</f>
        <v/>
      </c>
      <c r="S79" s="12">
        <f>T79-Q79</f>
        <v/>
      </c>
      <c r="T79" s="12" t="n">
        <v>0</v>
      </c>
      <c r="U79" s="13">
        <f>T79/$D$79</f>
        <v/>
      </c>
      <c r="V79" s="8" t="inlineStr"/>
    </row>
    <row r="80">
      <c r="A80" s="7" t="n">
        <v>76</v>
      </c>
      <c r="B80" s="8" t="inlineStr">
        <is>
          <t>Setia Eco Templer</t>
        </is>
      </c>
      <c r="C80" s="9" t="n">
        <v>43042</v>
      </c>
      <c r="D80" s="10" t="n">
        <v>168</v>
      </c>
      <c r="E80" s="7" t="inlineStr">
        <is>
          <t>14331-3</t>
        </is>
      </c>
      <c r="F80" s="8" t="inlineStr"/>
      <c r="G80" s="10" t="n"/>
      <c r="H80" s="10" t="n">
        <v>156</v>
      </c>
      <c r="I80" s="11">
        <f>H80/$D$80</f>
        <v/>
      </c>
      <c r="J80" s="10">
        <f>K80-H80</f>
        <v/>
      </c>
      <c r="K80" s="10" t="n">
        <v>156</v>
      </c>
      <c r="L80" s="11">
        <f>K80/$D$80</f>
        <v/>
      </c>
      <c r="M80" s="10">
        <f>N80-K80</f>
        <v/>
      </c>
      <c r="N80" s="10" t="n">
        <v>156</v>
      </c>
      <c r="O80" s="11">
        <f>N80/$D$80</f>
        <v/>
      </c>
      <c r="P80" s="10">
        <f>Q80-N80</f>
        <v/>
      </c>
      <c r="Q80" s="10" t="n">
        <v>156</v>
      </c>
      <c r="R80" s="11">
        <f>Q80/$D$80</f>
        <v/>
      </c>
      <c r="S80" s="12">
        <f>T80-Q80</f>
        <v/>
      </c>
      <c r="T80" s="12" t="n">
        <v>156</v>
      </c>
      <c r="U80" s="13">
        <f>T80/$D$80</f>
        <v/>
      </c>
      <c r="V80" s="8" t="inlineStr"/>
    </row>
    <row r="81">
      <c r="A81" s="7" t="n">
        <v>77</v>
      </c>
      <c r="B81" s="8" t="inlineStr">
        <is>
          <t>Setia Eco Templer</t>
        </is>
      </c>
      <c r="C81" s="9" t="n">
        <v>43426</v>
      </c>
      <c r="D81" s="10" t="n">
        <v>155</v>
      </c>
      <c r="E81" s="7" t="inlineStr">
        <is>
          <t>14331-4</t>
        </is>
      </c>
      <c r="F81" s="8" t="inlineStr"/>
      <c r="G81" s="10" t="n"/>
      <c r="H81" s="10" t="n">
        <v>147</v>
      </c>
      <c r="I81" s="11">
        <f>H81/$D$81</f>
        <v/>
      </c>
      <c r="J81" s="10">
        <f>K81-H81</f>
        <v/>
      </c>
      <c r="K81" s="10" t="n">
        <v>147</v>
      </c>
      <c r="L81" s="11">
        <f>K81/$D$81</f>
        <v/>
      </c>
      <c r="M81" s="10">
        <f>N81-K81</f>
        <v/>
      </c>
      <c r="N81" s="10" t="n">
        <v>147</v>
      </c>
      <c r="O81" s="11">
        <f>N81/$D$81</f>
        <v/>
      </c>
      <c r="P81" s="10">
        <f>Q81-N81</f>
        <v/>
      </c>
      <c r="Q81" s="10" t="n">
        <v>147</v>
      </c>
      <c r="R81" s="11">
        <f>Q81/$D$81</f>
        <v/>
      </c>
      <c r="S81" s="12">
        <f>T81-Q81</f>
        <v/>
      </c>
      <c r="T81" s="12" t="n">
        <v>147</v>
      </c>
      <c r="U81" s="13">
        <f>T81/$D$81</f>
        <v/>
      </c>
      <c r="V81" s="8" t="inlineStr"/>
    </row>
    <row r="82">
      <c r="A82" s="7" t="n">
        <v>78</v>
      </c>
      <c r="B82" s="8" t="inlineStr">
        <is>
          <t>Setia Eco Templer</t>
        </is>
      </c>
      <c r="C82" s="9" t="n">
        <v>44694</v>
      </c>
      <c r="D82" s="10" t="n">
        <v>74</v>
      </c>
      <c r="E82" s="7" t="inlineStr">
        <is>
          <t>14331-5</t>
        </is>
      </c>
      <c r="F82" s="8" t="inlineStr"/>
      <c r="G82" s="10" t="n"/>
      <c r="H82" s="10" t="n">
        <v>73</v>
      </c>
      <c r="I82" s="11">
        <f>H82/$D$82</f>
        <v/>
      </c>
      <c r="J82" s="10">
        <f>K82-H82</f>
        <v/>
      </c>
      <c r="K82" s="10" t="n">
        <v>73</v>
      </c>
      <c r="L82" s="11">
        <f>K82/$D$82</f>
        <v/>
      </c>
      <c r="M82" s="10">
        <f>N82-K82</f>
        <v/>
      </c>
      <c r="N82" s="10" t="n">
        <v>73</v>
      </c>
      <c r="O82" s="11">
        <f>N82/$D$82</f>
        <v/>
      </c>
      <c r="P82" s="10">
        <f>Q82-N82</f>
        <v/>
      </c>
      <c r="Q82" s="10" t="n">
        <v>73</v>
      </c>
      <c r="R82" s="11">
        <f>Q82/$D$82</f>
        <v/>
      </c>
      <c r="S82" s="12">
        <f>T82-Q82</f>
        <v/>
      </c>
      <c r="T82" s="12" t="n">
        <v>73</v>
      </c>
      <c r="U82" s="13">
        <f>T82/$D$82</f>
        <v/>
      </c>
      <c r="V82" s="8" t="inlineStr"/>
    </row>
    <row r="83">
      <c r="A83" s="7" t="n">
        <v>79</v>
      </c>
      <c r="B83" s="8" t="inlineStr">
        <is>
          <t>Setia Alamsari</t>
        </is>
      </c>
      <c r="C83" s="9" t="n">
        <v>44813</v>
      </c>
      <c r="D83" s="10" t="n">
        <v>88</v>
      </c>
      <c r="E83" s="7" t="inlineStr">
        <is>
          <t>30101-1</t>
        </is>
      </c>
      <c r="F83" s="8" t="inlineStr"/>
      <c r="G83" s="10" t="n"/>
      <c r="H83" s="10" t="n">
        <v>88</v>
      </c>
      <c r="I83" s="11">
        <f>H83/$D$83</f>
        <v/>
      </c>
      <c r="J83" s="10">
        <f>K83-H83</f>
        <v/>
      </c>
      <c r="K83" s="10" t="n">
        <v>88</v>
      </c>
      <c r="L83" s="11">
        <f>K83/$D$83</f>
        <v/>
      </c>
      <c r="M83" s="10">
        <f>N83-K83</f>
        <v/>
      </c>
      <c r="N83" s="10" t="n">
        <v>88</v>
      </c>
      <c r="O83" s="11">
        <f>N83/$D$83</f>
        <v/>
      </c>
      <c r="P83" s="10">
        <f>Q83-N83</f>
        <v/>
      </c>
      <c r="Q83" s="10" t="n">
        <v>88</v>
      </c>
      <c r="R83" s="11">
        <f>Q83/$D$83</f>
        <v/>
      </c>
      <c r="S83" s="12">
        <f>T83-Q83</f>
        <v/>
      </c>
      <c r="T83" s="12" t="n">
        <v>88</v>
      </c>
      <c r="U83" s="13">
        <f>T83/$D$83</f>
        <v/>
      </c>
      <c r="V83" s="8" t="inlineStr"/>
    </row>
    <row r="84">
      <c r="A84" s="7" t="n">
        <v>80</v>
      </c>
      <c r="B84" s="8" t="inlineStr">
        <is>
          <t>Setia Alamsari</t>
        </is>
      </c>
      <c r="C84" s="9" t="n">
        <v>44889</v>
      </c>
      <c r="D84" s="10" t="n">
        <v>44</v>
      </c>
      <c r="E84" s="7" t="inlineStr">
        <is>
          <t>30101-2</t>
        </is>
      </c>
      <c r="F84" s="8" t="inlineStr"/>
      <c r="G84" s="10" t="n"/>
      <c r="H84" s="10" t="n">
        <v>44</v>
      </c>
      <c r="I84" s="11">
        <f>H84/$D$84</f>
        <v/>
      </c>
      <c r="J84" s="10">
        <f>K84-H84</f>
        <v/>
      </c>
      <c r="K84" s="10" t="n">
        <v>44</v>
      </c>
      <c r="L84" s="11">
        <f>K84/$D$84</f>
        <v/>
      </c>
      <c r="M84" s="10">
        <f>N84-K84</f>
        <v/>
      </c>
      <c r="N84" s="10" t="n">
        <v>44</v>
      </c>
      <c r="O84" s="11">
        <f>N84/$D$84</f>
        <v/>
      </c>
      <c r="P84" s="10">
        <f>Q84-N84</f>
        <v/>
      </c>
      <c r="Q84" s="10" t="n">
        <v>44</v>
      </c>
      <c r="R84" s="11">
        <f>Q84/$D$84</f>
        <v/>
      </c>
      <c r="S84" s="12">
        <f>T84-Q84</f>
        <v/>
      </c>
      <c r="T84" s="12" t="n">
        <v>44</v>
      </c>
      <c r="U84" s="13">
        <f>T84/$D$84</f>
        <v/>
      </c>
      <c r="V84" s="8" t="inlineStr"/>
    </row>
    <row r="85">
      <c r="A85" s="7" t="n">
        <v>81</v>
      </c>
      <c r="B85" s="8" t="inlineStr">
        <is>
          <t>Setia Alamsari</t>
        </is>
      </c>
      <c r="C85" s="9" t="n">
        <v>44890</v>
      </c>
      <c r="D85" s="10" t="n">
        <v>44</v>
      </c>
      <c r="E85" s="7" t="inlineStr">
        <is>
          <t>30101-3</t>
        </is>
      </c>
      <c r="F85" s="8" t="inlineStr"/>
      <c r="G85" s="10" t="n"/>
      <c r="H85" s="10" t="n">
        <v>44</v>
      </c>
      <c r="I85" s="11">
        <f>H85/$D$85</f>
        <v/>
      </c>
      <c r="J85" s="10">
        <f>K85-H85</f>
        <v/>
      </c>
      <c r="K85" s="10" t="n">
        <v>44</v>
      </c>
      <c r="L85" s="11">
        <f>K85/$D$85</f>
        <v/>
      </c>
      <c r="M85" s="10">
        <f>N85-K85</f>
        <v/>
      </c>
      <c r="N85" s="10" t="n">
        <v>44</v>
      </c>
      <c r="O85" s="11">
        <f>N85/$D$85</f>
        <v/>
      </c>
      <c r="P85" s="10">
        <f>Q85-N85</f>
        <v/>
      </c>
      <c r="Q85" s="10" t="n">
        <v>44</v>
      </c>
      <c r="R85" s="11">
        <f>Q85/$D$85</f>
        <v/>
      </c>
      <c r="S85" s="12">
        <f>T85-Q85</f>
        <v/>
      </c>
      <c r="T85" s="12" t="n">
        <v>44</v>
      </c>
      <c r="U85" s="13">
        <f>T85/$D$85</f>
        <v/>
      </c>
      <c r="V85" s="8" t="inlineStr"/>
    </row>
    <row r="86">
      <c r="A86" s="7" t="n">
        <v>82</v>
      </c>
      <c r="B86" s="8" t="inlineStr">
        <is>
          <t>Setia Alamsari</t>
        </is>
      </c>
      <c r="C86" s="9" t="n">
        <v>45013</v>
      </c>
      <c r="D86" s="10" t="n">
        <v>114</v>
      </c>
      <c r="E86" s="7" t="inlineStr">
        <is>
          <t>30101-4</t>
        </is>
      </c>
      <c r="F86" s="8" t="inlineStr"/>
      <c r="G86" s="10" t="n"/>
      <c r="H86" s="10" t="n">
        <v>111</v>
      </c>
      <c r="I86" s="11">
        <f>H86/$D$86</f>
        <v/>
      </c>
      <c r="J86" s="10">
        <f>K86-H86</f>
        <v/>
      </c>
      <c r="K86" s="10" t="n">
        <v>111</v>
      </c>
      <c r="L86" s="11">
        <f>K86/$D$86</f>
        <v/>
      </c>
      <c r="M86" s="10">
        <f>N86-K86</f>
        <v/>
      </c>
      <c r="N86" s="10" t="n">
        <v>111</v>
      </c>
      <c r="O86" s="11">
        <f>N86/$D$86</f>
        <v/>
      </c>
      <c r="P86" s="10">
        <f>Q86-N86</f>
        <v/>
      </c>
      <c r="Q86" s="10" t="n">
        <v>111</v>
      </c>
      <c r="R86" s="11">
        <f>Q86/$D$86</f>
        <v/>
      </c>
      <c r="S86" s="12">
        <f>T86-Q86</f>
        <v/>
      </c>
      <c r="T86" s="12" t="n">
        <v>111</v>
      </c>
      <c r="U86" s="13">
        <f>T86/$D$86</f>
        <v/>
      </c>
      <c r="V86" s="8" t="inlineStr"/>
    </row>
    <row r="87">
      <c r="A87" s="7" t="n">
        <v>83</v>
      </c>
      <c r="B87" s="8" t="inlineStr">
        <is>
          <t>Setia Alamsari</t>
        </is>
      </c>
      <c r="C87" s="9" t="n">
        <v>45033</v>
      </c>
      <c r="D87" s="10" t="n">
        <v>88</v>
      </c>
      <c r="E87" s="7" t="inlineStr">
        <is>
          <t>30101-5</t>
        </is>
      </c>
      <c r="F87" s="8" t="inlineStr"/>
      <c r="G87" s="10" t="n"/>
      <c r="H87" s="10" t="n">
        <v>88</v>
      </c>
      <c r="I87" s="11">
        <f>H87/$D$87</f>
        <v/>
      </c>
      <c r="J87" s="10">
        <f>K87-H87</f>
        <v/>
      </c>
      <c r="K87" s="10" t="n">
        <v>88</v>
      </c>
      <c r="L87" s="11">
        <f>K87/$D$87</f>
        <v/>
      </c>
      <c r="M87" s="10">
        <f>N87-K87</f>
        <v/>
      </c>
      <c r="N87" s="10" t="n">
        <v>88</v>
      </c>
      <c r="O87" s="11">
        <f>N87/$D$87</f>
        <v/>
      </c>
      <c r="P87" s="10">
        <f>Q87-N87</f>
        <v/>
      </c>
      <c r="Q87" s="10" t="n">
        <v>88</v>
      </c>
      <c r="R87" s="11">
        <f>Q87/$D$87</f>
        <v/>
      </c>
      <c r="S87" s="12">
        <f>T87-Q87</f>
        <v/>
      </c>
      <c r="T87" s="12" t="n">
        <v>88</v>
      </c>
      <c r="U87" s="13">
        <f>T87/$D$87</f>
        <v/>
      </c>
      <c r="V87" s="8" t="inlineStr"/>
    </row>
    <row r="88">
      <c r="A88" s="7" t="n">
        <v>84</v>
      </c>
      <c r="B88" s="8" t="inlineStr">
        <is>
          <t>Setia Alamsari</t>
        </is>
      </c>
      <c r="C88" s="9" t="n">
        <v>45226</v>
      </c>
      <c r="D88" s="10" t="n">
        <v>44</v>
      </c>
      <c r="E88" s="7" t="inlineStr">
        <is>
          <t>30101-6</t>
        </is>
      </c>
      <c r="F88" s="8" t="inlineStr"/>
      <c r="G88" s="10" t="n"/>
      <c r="H88" s="10" t="n">
        <v>43</v>
      </c>
      <c r="I88" s="11">
        <f>H88/$D$88</f>
        <v/>
      </c>
      <c r="J88" s="10">
        <f>K88-H88</f>
        <v/>
      </c>
      <c r="K88" s="10" t="n">
        <v>43</v>
      </c>
      <c r="L88" s="11">
        <f>K88/$D$88</f>
        <v/>
      </c>
      <c r="M88" s="10">
        <f>N88-K88</f>
        <v/>
      </c>
      <c r="N88" s="10" t="n">
        <v>43</v>
      </c>
      <c r="O88" s="11">
        <f>N88/$D$88</f>
        <v/>
      </c>
      <c r="P88" s="10">
        <f>Q88-N88</f>
        <v/>
      </c>
      <c r="Q88" s="10" t="n">
        <v>43</v>
      </c>
      <c r="R88" s="11">
        <f>Q88/$D$88</f>
        <v/>
      </c>
      <c r="S88" s="12">
        <f>T88-Q88</f>
        <v/>
      </c>
      <c r="T88" s="12" t="n">
        <v>43</v>
      </c>
      <c r="U88" s="13">
        <f>T88/$D$88</f>
        <v/>
      </c>
      <c r="V88" s="8" t="inlineStr"/>
    </row>
    <row r="89">
      <c r="A89" s="7" t="n">
        <v>85</v>
      </c>
      <c r="B89" s="8" t="inlineStr">
        <is>
          <t>Setia Alamsari</t>
        </is>
      </c>
      <c r="C89" s="9" t="n">
        <v>45426</v>
      </c>
      <c r="D89" s="10" t="n">
        <v>60</v>
      </c>
      <c r="E89" s="7" t="inlineStr">
        <is>
          <t>30101-7</t>
        </is>
      </c>
      <c r="F89" s="8" t="inlineStr"/>
      <c r="G89" s="10" t="n"/>
      <c r="H89" s="10" t="n">
        <v>46</v>
      </c>
      <c r="I89" s="11">
        <f>H89/$D$89</f>
        <v/>
      </c>
      <c r="J89" s="10">
        <f>K89-H89</f>
        <v/>
      </c>
      <c r="K89" s="10" t="n">
        <v>46</v>
      </c>
      <c r="L89" s="11">
        <f>K89/$D$89</f>
        <v/>
      </c>
      <c r="M89" s="10">
        <f>N89-K89</f>
        <v/>
      </c>
      <c r="N89" s="10" t="n">
        <v>46</v>
      </c>
      <c r="O89" s="11">
        <f>N89/$D$89</f>
        <v/>
      </c>
      <c r="P89" s="10">
        <f>Q89-N89</f>
        <v/>
      </c>
      <c r="Q89" s="10" t="n">
        <v>46</v>
      </c>
      <c r="R89" s="11">
        <f>Q89/$D$89</f>
        <v/>
      </c>
      <c r="S89" s="12">
        <f>T89-Q89</f>
        <v/>
      </c>
      <c r="T89" s="12" t="n">
        <v>46</v>
      </c>
      <c r="U89" s="13">
        <f>T89/$D$89</f>
        <v/>
      </c>
      <c r="V89" s="8" t="inlineStr"/>
    </row>
    <row r="90">
      <c r="A90" s="7" t="n">
        <v>86</v>
      </c>
      <c r="B90" s="8" t="inlineStr">
        <is>
          <t>Setia Bayuemas</t>
        </is>
      </c>
      <c r="C90" s="9" t="n">
        <v>45132</v>
      </c>
      <c r="D90" s="10" t="n">
        <v>97</v>
      </c>
      <c r="E90" s="7" t="inlineStr">
        <is>
          <t>9796-20</t>
        </is>
      </c>
      <c r="F90" s="8" t="inlineStr"/>
      <c r="G90" s="10" t="n"/>
      <c r="H90" s="10" t="n">
        <v>89</v>
      </c>
      <c r="I90" s="11">
        <f>H90/$D$90</f>
        <v/>
      </c>
      <c r="J90" s="10">
        <f>K90-H90</f>
        <v/>
      </c>
      <c r="K90" s="10" t="n">
        <v>89</v>
      </c>
      <c r="L90" s="11">
        <f>K90/$D$90</f>
        <v/>
      </c>
      <c r="M90" s="10">
        <f>N90-K90</f>
        <v/>
      </c>
      <c r="N90" s="10" t="n">
        <v>89</v>
      </c>
      <c r="O90" s="11">
        <f>N90/$D$90</f>
        <v/>
      </c>
      <c r="P90" s="10">
        <f>Q90-N90</f>
        <v/>
      </c>
      <c r="Q90" s="10" t="n">
        <v>89</v>
      </c>
      <c r="R90" s="11">
        <f>Q90/$D$90</f>
        <v/>
      </c>
      <c r="S90" s="12">
        <f>T90-Q90</f>
        <v/>
      </c>
      <c r="T90" s="12" t="n">
        <v>89</v>
      </c>
      <c r="U90" s="13">
        <f>T90/$D$90</f>
        <v/>
      </c>
      <c r="V90" s="8" t="inlineStr"/>
    </row>
    <row r="91">
      <c r="A91" s="7" t="n">
        <v>87</v>
      </c>
      <c r="B91" s="8" t="inlineStr">
        <is>
          <t>Bandar Baru Seri Petaling Fasa Zone P3 (Residensi Rimbunan)</t>
        </is>
      </c>
      <c r="C91" s="9" t="n">
        <v>42832</v>
      </c>
      <c r="D91" s="10" t="n">
        <v>272</v>
      </c>
      <c r="E91" s="7" t="inlineStr">
        <is>
          <t>37-5</t>
        </is>
      </c>
      <c r="F91" s="8" t="inlineStr"/>
      <c r="G91" s="10" t="n"/>
      <c r="H91" s="10" t="n">
        <v>272</v>
      </c>
      <c r="I91" s="11">
        <f>H91/$D$91</f>
        <v/>
      </c>
      <c r="J91" s="10">
        <f>K91-H91</f>
        <v/>
      </c>
      <c r="K91" s="10" t="n">
        <v>272</v>
      </c>
      <c r="L91" s="11">
        <f>K91/$D$91</f>
        <v/>
      </c>
      <c r="M91" s="10">
        <f>N91-K91</f>
        <v/>
      </c>
      <c r="N91" s="10" t="n">
        <v>272</v>
      </c>
      <c r="O91" s="11">
        <f>N91/$D$91</f>
        <v/>
      </c>
      <c r="P91" s="10">
        <f>Q91-N91</f>
        <v/>
      </c>
      <c r="Q91" s="10" t="n">
        <v>272</v>
      </c>
      <c r="R91" s="11">
        <f>Q91/$D$91</f>
        <v/>
      </c>
      <c r="S91" s="12">
        <f>T91-Q91</f>
        <v/>
      </c>
      <c r="T91" s="12" t="n">
        <v>272</v>
      </c>
      <c r="U91" s="13">
        <f>T91/$D$91</f>
        <v/>
      </c>
      <c r="V91" s="8" t="inlineStr"/>
    </row>
    <row r="92">
      <c r="A92" s="7" t="n">
        <v>88</v>
      </c>
      <c r="B92" s="8" t="inlineStr">
        <is>
          <t>Setia Warisan Tropika</t>
        </is>
      </c>
      <c r="C92" s="9" t="n">
        <v>33626</v>
      </c>
      <c r="D92" s="10" t="n">
        <v>187</v>
      </c>
      <c r="E92" s="7" t="inlineStr">
        <is>
          <t>37-6</t>
        </is>
      </c>
      <c r="F92" s="8" t="inlineStr"/>
      <c r="G92" s="10" t="n"/>
      <c r="H92" s="10" t="n">
        <v>186</v>
      </c>
      <c r="I92" s="11">
        <f>H92/$D$92</f>
        <v/>
      </c>
      <c r="J92" s="10">
        <f>K92-H92</f>
        <v/>
      </c>
      <c r="K92" s="10" t="n">
        <v>186</v>
      </c>
      <c r="L92" s="11">
        <f>K92/$D$92</f>
        <v/>
      </c>
      <c r="M92" s="10">
        <f>N92-K92</f>
        <v/>
      </c>
      <c r="N92" s="10" t="n">
        <v>186</v>
      </c>
      <c r="O92" s="11">
        <f>N92/$D$92</f>
        <v/>
      </c>
      <c r="P92" s="10">
        <f>Q92-N92</f>
        <v/>
      </c>
      <c r="Q92" s="10" t="n">
        <v>186</v>
      </c>
      <c r="R92" s="11">
        <f>Q92/$D$92</f>
        <v/>
      </c>
      <c r="S92" s="12">
        <f>T92-Q92</f>
        <v/>
      </c>
      <c r="T92" s="12" t="n">
        <v>186</v>
      </c>
      <c r="U92" s="13">
        <f>T92/$D$92</f>
        <v/>
      </c>
      <c r="V92" s="8" t="inlineStr"/>
    </row>
    <row r="93">
      <c r="A93" s="7" t="n">
        <v>89</v>
      </c>
      <c r="B93" s="8" t="inlineStr">
        <is>
          <t>Setia Warisan Tropika</t>
        </is>
      </c>
      <c r="C93" s="9" t="n">
        <v>44171</v>
      </c>
      <c r="D93" s="10" t="n">
        <v>135</v>
      </c>
      <c r="E93" s="7" t="inlineStr">
        <is>
          <t>37-7</t>
        </is>
      </c>
      <c r="F93" s="8" t="inlineStr"/>
      <c r="G93" s="10" t="n"/>
      <c r="H93" s="10" t="n">
        <v>122</v>
      </c>
      <c r="I93" s="11">
        <f>H93/$D$93</f>
        <v/>
      </c>
      <c r="J93" s="10">
        <f>K93-H93</f>
        <v/>
      </c>
      <c r="K93" s="10" t="n">
        <v>122</v>
      </c>
      <c r="L93" s="11">
        <f>K93/$D$93</f>
        <v/>
      </c>
      <c r="M93" s="10">
        <f>N93-K93</f>
        <v/>
      </c>
      <c r="N93" s="10" t="n">
        <v>122</v>
      </c>
      <c r="O93" s="11">
        <f>N93/$D$93</f>
        <v/>
      </c>
      <c r="P93" s="10">
        <f>Q93-N93</f>
        <v/>
      </c>
      <c r="Q93" s="10" t="n">
        <v>122</v>
      </c>
      <c r="R93" s="11">
        <f>Q93/$D$93</f>
        <v/>
      </c>
      <c r="S93" s="12">
        <f>T93-Q93</f>
        <v/>
      </c>
      <c r="T93" s="12" t="n">
        <v>122</v>
      </c>
      <c r="U93" s="13">
        <f>T93/$D$93</f>
        <v/>
      </c>
      <c r="V93" s="8" t="inlineStr"/>
    </row>
    <row r="94">
      <c r="A94" s="7" t="n">
        <v>90</v>
      </c>
      <c r="B94" s="8" t="inlineStr">
        <is>
          <t>Setia Warisan Tropika (Phase 3A)</t>
        </is>
      </c>
      <c r="C94" s="9" t="n">
        <v>44980</v>
      </c>
      <c r="D94" s="10" t="n">
        <v>117</v>
      </c>
      <c r="E94" s="7" t="inlineStr">
        <is>
          <t>37-8</t>
        </is>
      </c>
      <c r="F94" s="8" t="inlineStr"/>
      <c r="G94" s="10" t="n"/>
      <c r="H94" s="10" t="n">
        <v>0</v>
      </c>
      <c r="I94" s="11">
        <f>H94/$D$94</f>
        <v/>
      </c>
      <c r="J94" s="10">
        <f>K94-H94</f>
        <v/>
      </c>
      <c r="K94" s="10" t="n">
        <v>0</v>
      </c>
      <c r="L94" s="11">
        <f>K94/$D$94</f>
        <v/>
      </c>
      <c r="M94" s="10">
        <f>N94-K94</f>
        <v/>
      </c>
      <c r="N94" s="10" t="n">
        <v>0</v>
      </c>
      <c r="O94" s="11">
        <f>N94/$D$94</f>
        <v/>
      </c>
      <c r="P94" s="10">
        <f>Q94-N94</f>
        <v/>
      </c>
      <c r="Q94" s="10" t="n">
        <v>0</v>
      </c>
      <c r="R94" s="11">
        <f>Q94/$D$94</f>
        <v/>
      </c>
      <c r="S94" s="12">
        <f>T94-Q94</f>
        <v/>
      </c>
      <c r="T94" s="12" t="n">
        <v>0</v>
      </c>
      <c r="U94" s="13">
        <f>T94/$D$94</f>
        <v/>
      </c>
      <c r="V94" s="8" t="inlineStr"/>
    </row>
    <row r="95">
      <c r="A95" s="7" t="n">
        <v>91</v>
      </c>
      <c r="B95" s="8" t="inlineStr">
        <is>
          <t>Setia Eco Glades</t>
        </is>
      </c>
      <c r="C95" s="9" t="n">
        <v>43327</v>
      </c>
      <c r="D95" s="10" t="n">
        <v>142</v>
      </c>
      <c r="E95" s="7" t="inlineStr">
        <is>
          <t>12215-6</t>
        </is>
      </c>
      <c r="F95" s="8" t="inlineStr"/>
      <c r="G95" s="10" t="n"/>
      <c r="H95" s="10" t="n">
        <v>138</v>
      </c>
      <c r="I95" s="11">
        <f>H95/$D$95</f>
        <v/>
      </c>
      <c r="J95" s="10">
        <f>K95-H95</f>
        <v/>
      </c>
      <c r="K95" s="10" t="n">
        <v>138</v>
      </c>
      <c r="L95" s="11">
        <f>K95/$D$95</f>
        <v/>
      </c>
      <c r="M95" s="10">
        <f>N95-K95</f>
        <v/>
      </c>
      <c r="N95" s="10" t="n">
        <v>138</v>
      </c>
      <c r="O95" s="11">
        <f>N95/$D$95</f>
        <v/>
      </c>
      <c r="P95" s="10">
        <f>Q95-N95</f>
        <v/>
      </c>
      <c r="Q95" s="10" t="n">
        <v>138</v>
      </c>
      <c r="R95" s="11">
        <f>Q95/$D$95</f>
        <v/>
      </c>
      <c r="S95" s="12">
        <f>T95-Q95</f>
        <v/>
      </c>
      <c r="T95" s="12" t="n">
        <v>138</v>
      </c>
      <c r="U95" s="13">
        <f>T95/$D$95</f>
        <v/>
      </c>
      <c r="V95" s="8" t="inlineStr"/>
    </row>
    <row r="96">
      <c r="A96" s="7" t="n">
        <v>92</v>
      </c>
      <c r="B96" s="8" t="inlineStr">
        <is>
          <t>Setia Eco Glades</t>
        </is>
      </c>
      <c r="C96" s="9" t="n">
        <v>43572</v>
      </c>
      <c r="D96" s="10" t="n">
        <v>152</v>
      </c>
      <c r="E96" s="7" t="inlineStr">
        <is>
          <t>12215-7</t>
        </is>
      </c>
      <c r="F96" s="8" t="inlineStr"/>
      <c r="G96" s="10" t="n"/>
      <c r="H96" s="10" t="n">
        <v>152</v>
      </c>
      <c r="I96" s="11">
        <f>H96/$D$96</f>
        <v/>
      </c>
      <c r="J96" s="10">
        <f>K96-H96</f>
        <v/>
      </c>
      <c r="K96" s="10" t="n">
        <v>152</v>
      </c>
      <c r="L96" s="11">
        <f>K96/$D$96</f>
        <v/>
      </c>
      <c r="M96" s="10">
        <f>N96-K96</f>
        <v/>
      </c>
      <c r="N96" s="10" t="n">
        <v>152</v>
      </c>
      <c r="O96" s="11">
        <f>N96/$D$96</f>
        <v/>
      </c>
      <c r="P96" s="10">
        <f>Q96-N96</f>
        <v/>
      </c>
      <c r="Q96" s="10" t="n">
        <v>152</v>
      </c>
      <c r="R96" s="11">
        <f>Q96/$D$96</f>
        <v/>
      </c>
      <c r="S96" s="12">
        <f>T96-Q96</f>
        <v/>
      </c>
      <c r="T96" s="12" t="n">
        <v>152</v>
      </c>
      <c r="U96" s="13">
        <f>T96/$D$96</f>
        <v/>
      </c>
      <c r="V96" s="8" t="inlineStr">
        <is>
          <t>Latest sales - Block LH: 1 units</t>
        </is>
      </c>
    </row>
    <row r="97">
      <c r="A97" s="7" t="n">
        <v>93</v>
      </c>
      <c r="B97" s="8" t="inlineStr">
        <is>
          <t>Setia Marina (Glade 8)</t>
        </is>
      </c>
      <c r="C97" s="9" t="n">
        <v>44245</v>
      </c>
      <c r="D97" s="10" t="n">
        <v>60</v>
      </c>
      <c r="E97" s="7" t="inlineStr">
        <is>
          <t>12215-8</t>
        </is>
      </c>
      <c r="F97" s="8" t="inlineStr"/>
      <c r="G97" s="10" t="n"/>
      <c r="H97" s="10" t="n">
        <v>55</v>
      </c>
      <c r="I97" s="11">
        <f>H97/$D$97</f>
        <v/>
      </c>
      <c r="J97" s="10">
        <f>K97-H97</f>
        <v/>
      </c>
      <c r="K97" s="10" t="n">
        <v>55</v>
      </c>
      <c r="L97" s="11">
        <f>K97/$D$97</f>
        <v/>
      </c>
      <c r="M97" s="10">
        <f>N97-K97</f>
        <v/>
      </c>
      <c r="N97" s="10" t="n">
        <v>55</v>
      </c>
      <c r="O97" s="11">
        <f>N97/$D$97</f>
        <v/>
      </c>
      <c r="P97" s="10">
        <f>Q97-N97</f>
        <v/>
      </c>
      <c r="Q97" s="10" t="n">
        <v>55</v>
      </c>
      <c r="R97" s="11">
        <f>Q97/$D$97</f>
        <v/>
      </c>
      <c r="S97" s="12">
        <f>T97-Q97</f>
        <v/>
      </c>
      <c r="T97" s="12" t="n">
        <v>55</v>
      </c>
      <c r="U97" s="13">
        <f>T97/$D$97</f>
        <v/>
      </c>
      <c r="V97" s="8" t="inlineStr"/>
    </row>
    <row r="98">
      <c r="A98" s="7" t="n">
        <v>94</v>
      </c>
      <c r="B98" s="8" t="inlineStr">
        <is>
          <t>Setia Marina Glade 7</t>
        </is>
      </c>
      <c r="C98" s="9" t="n">
        <v>44657</v>
      </c>
      <c r="D98" s="10" t="n">
        <v>100</v>
      </c>
      <c r="E98" s="7" t="inlineStr">
        <is>
          <t>12215-9</t>
        </is>
      </c>
      <c r="F98" s="8" t="inlineStr"/>
      <c r="G98" s="10" t="n"/>
      <c r="H98" s="10" t="n">
        <v>97</v>
      </c>
      <c r="I98" s="11">
        <f>H98/$D$98</f>
        <v/>
      </c>
      <c r="J98" s="10">
        <f>K98-H98</f>
        <v/>
      </c>
      <c r="K98" s="10" t="n">
        <v>97</v>
      </c>
      <c r="L98" s="11">
        <f>K98/$D$98</f>
        <v/>
      </c>
      <c r="M98" s="10">
        <f>N98-K98</f>
        <v/>
      </c>
      <c r="N98" s="10" t="n">
        <v>97</v>
      </c>
      <c r="O98" s="11">
        <f>N98/$D$98</f>
        <v/>
      </c>
      <c r="P98" s="10">
        <f>Q98-N98</f>
        <v/>
      </c>
      <c r="Q98" s="10" t="n">
        <v>97</v>
      </c>
      <c r="R98" s="11">
        <f>Q98/$D$98</f>
        <v/>
      </c>
      <c r="S98" s="12">
        <f>T98-Q98</f>
        <v/>
      </c>
      <c r="T98" s="12" t="n">
        <v>97</v>
      </c>
      <c r="U98" s="13">
        <f>T98/$D$98</f>
        <v/>
      </c>
      <c r="V98" s="8" t="inlineStr"/>
    </row>
    <row r="99">
      <c r="A99" s="7" t="n">
        <v>95</v>
      </c>
      <c r="B99" s="8" t="inlineStr">
        <is>
          <t>Elmera</t>
        </is>
      </c>
      <c r="C99" s="9" t="n">
        <v>43109</v>
      </c>
      <c r="D99" s="10" t="n">
        <v>92</v>
      </c>
      <c r="E99" s="7" t="inlineStr">
        <is>
          <t>14421-6</t>
        </is>
      </c>
      <c r="F99" s="8" t="inlineStr"/>
      <c r="G99" s="10" t="n"/>
      <c r="H99" s="10" t="n">
        <v>92</v>
      </c>
      <c r="I99" s="11">
        <f>H99/$D$99</f>
        <v/>
      </c>
      <c r="J99" s="10">
        <f>K99-H99</f>
        <v/>
      </c>
      <c r="K99" s="10" t="n">
        <v>92</v>
      </c>
      <c r="L99" s="11">
        <f>K99/$D$99</f>
        <v/>
      </c>
      <c r="M99" s="10">
        <f>N99-K99</f>
        <v/>
      </c>
      <c r="N99" s="10" t="n">
        <v>92</v>
      </c>
      <c r="O99" s="11">
        <f>N99/$D$99</f>
        <v/>
      </c>
      <c r="P99" s="10">
        <f>Q99-N99</f>
        <v/>
      </c>
      <c r="Q99" s="10" t="n">
        <v>92</v>
      </c>
      <c r="R99" s="11">
        <f>Q99/$D$99</f>
        <v/>
      </c>
      <c r="S99" s="12">
        <f>T99-Q99</f>
        <v/>
      </c>
      <c r="T99" s="12" t="n">
        <v>92</v>
      </c>
      <c r="U99" s="13">
        <f>T99/$D$99</f>
        <v/>
      </c>
      <c r="V99" s="8" t="inlineStr"/>
    </row>
    <row r="100">
      <c r="A100" s="7" t="n">
        <v>96</v>
      </c>
      <c r="B100" s="8" t="inlineStr">
        <is>
          <t>Barras</t>
        </is>
      </c>
      <c r="C100" s="9" t="n">
        <v>43214</v>
      </c>
      <c r="D100" s="10" t="n">
        <v>114</v>
      </c>
      <c r="E100" s="7" t="inlineStr">
        <is>
          <t>14421-7</t>
        </is>
      </c>
      <c r="F100" s="8" t="inlineStr"/>
      <c r="G100" s="10" t="n"/>
      <c r="H100" s="10" t="n">
        <v>114</v>
      </c>
      <c r="I100" s="11">
        <f>H100/$D$100</f>
        <v/>
      </c>
      <c r="J100" s="10">
        <f>K100-H100</f>
        <v/>
      </c>
      <c r="K100" s="10" t="n">
        <v>114</v>
      </c>
      <c r="L100" s="11">
        <f>K100/$D$100</f>
        <v/>
      </c>
      <c r="M100" s="10">
        <f>N100-K100</f>
        <v/>
      </c>
      <c r="N100" s="10" t="n">
        <v>114</v>
      </c>
      <c r="O100" s="11">
        <f>N100/$D$100</f>
        <v/>
      </c>
      <c r="P100" s="10">
        <f>Q100-N100</f>
        <v/>
      </c>
      <c r="Q100" s="10" t="n">
        <v>114</v>
      </c>
      <c r="R100" s="11">
        <f>Q100/$D$100</f>
        <v/>
      </c>
      <c r="S100" s="12">
        <f>T100-Q100</f>
        <v/>
      </c>
      <c r="T100" s="12" t="n">
        <v>114</v>
      </c>
      <c r="U100" s="13">
        <f>T100/$D$100</f>
        <v/>
      </c>
      <c r="V100" s="8" t="inlineStr"/>
    </row>
    <row r="101">
      <c r="A101" s="7" t="n">
        <v>97</v>
      </c>
      <c r="B101" s="8" t="inlineStr">
        <is>
          <t>Amarus</t>
        </is>
      </c>
      <c r="C101" s="9" t="n">
        <v>43342</v>
      </c>
      <c r="D101" s="10" t="n">
        <v>81</v>
      </c>
      <c r="E101" s="7" t="inlineStr">
        <is>
          <t>14421-8</t>
        </is>
      </c>
      <c r="F101" s="8" t="inlineStr"/>
      <c r="G101" s="10" t="n"/>
      <c r="H101" s="10" t="n">
        <v>80</v>
      </c>
      <c r="I101" s="11">
        <f>H101/$D$101</f>
        <v/>
      </c>
      <c r="J101" s="10">
        <f>K101-H101</f>
        <v/>
      </c>
      <c r="K101" s="10" t="n">
        <v>80</v>
      </c>
      <c r="L101" s="11">
        <f>K101/$D$101</f>
        <v/>
      </c>
      <c r="M101" s="10">
        <f>N101-K101</f>
        <v/>
      </c>
      <c r="N101" s="10" t="n">
        <v>80</v>
      </c>
      <c r="O101" s="11">
        <f>N101/$D$101</f>
        <v/>
      </c>
      <c r="P101" s="10">
        <f>Q101-N101</f>
        <v/>
      </c>
      <c r="Q101" s="10" t="n">
        <v>80</v>
      </c>
      <c r="R101" s="11">
        <f>Q101/$D$101</f>
        <v/>
      </c>
      <c r="S101" s="12">
        <f>T101-Q101</f>
        <v/>
      </c>
      <c r="T101" s="12" t="n">
        <v>80</v>
      </c>
      <c r="U101" s="13">
        <f>T101/$D$101</f>
        <v/>
      </c>
      <c r="V101" s="8" t="inlineStr"/>
    </row>
    <row r="102">
      <c r="A102" s="7" t="n">
        <v>98</v>
      </c>
      <c r="B102" s="8" t="inlineStr">
        <is>
          <t>Baccas</t>
        </is>
      </c>
      <c r="C102" s="9" t="n">
        <v>43537</v>
      </c>
      <c r="D102" s="10" t="n">
        <v>68</v>
      </c>
      <c r="E102" s="7" t="inlineStr">
        <is>
          <t>14421-9</t>
        </is>
      </c>
      <c r="F102" s="8" t="inlineStr"/>
      <c r="G102" s="10" t="n"/>
      <c r="H102" s="10" t="n">
        <v>67</v>
      </c>
      <c r="I102" s="11">
        <f>H102/$D$102</f>
        <v/>
      </c>
      <c r="J102" s="10">
        <f>K102-H102</f>
        <v/>
      </c>
      <c r="K102" s="10" t="n">
        <v>67</v>
      </c>
      <c r="L102" s="11">
        <f>K102/$D$102</f>
        <v/>
      </c>
      <c r="M102" s="10">
        <f>N102-K102</f>
        <v/>
      </c>
      <c r="N102" s="10" t="n">
        <v>67</v>
      </c>
      <c r="O102" s="11">
        <f>N102/$D$102</f>
        <v/>
      </c>
      <c r="P102" s="10">
        <f>Q102-N102</f>
        <v/>
      </c>
      <c r="Q102" s="10" t="n">
        <v>67</v>
      </c>
      <c r="R102" s="11">
        <f>Q102/$D$102</f>
        <v/>
      </c>
      <c r="S102" s="12">
        <f>T102-Q102</f>
        <v/>
      </c>
      <c r="T102" s="12" t="n">
        <v>67</v>
      </c>
      <c r="U102" s="13">
        <f>T102/$D$102</f>
        <v/>
      </c>
      <c r="V102" s="8" t="inlineStr"/>
    </row>
    <row r="103">
      <c r="A103" s="7" t="n">
        <v>99</v>
      </c>
      <c r="B103" s="8" t="inlineStr">
        <is>
          <t>Frossa</t>
        </is>
      </c>
      <c r="C103" s="9" t="n">
        <v>43613</v>
      </c>
      <c r="D103" s="10" t="n">
        <v>84</v>
      </c>
      <c r="E103" s="7" t="inlineStr">
        <is>
          <t>14421-10</t>
        </is>
      </c>
      <c r="F103" s="8" t="inlineStr"/>
      <c r="G103" s="10" t="n"/>
      <c r="H103" s="10" t="n">
        <v>48</v>
      </c>
      <c r="I103" s="11">
        <f>H103/$D$103</f>
        <v/>
      </c>
      <c r="J103" s="10">
        <f>K103-H103</f>
        <v/>
      </c>
      <c r="K103" s="10" t="n">
        <v>48</v>
      </c>
      <c r="L103" s="11">
        <f>K103/$D$103</f>
        <v/>
      </c>
      <c r="M103" s="10">
        <f>N103-K103</f>
        <v/>
      </c>
      <c r="N103" s="10" t="n">
        <v>48</v>
      </c>
      <c r="O103" s="11">
        <f>N103/$D$103</f>
        <v/>
      </c>
      <c r="P103" s="10">
        <f>Q103-N103</f>
        <v/>
      </c>
      <c r="Q103" s="10" t="n">
        <v>48</v>
      </c>
      <c r="R103" s="11">
        <f>Q103/$D$103</f>
        <v/>
      </c>
      <c r="S103" s="12">
        <f>T103-Q103</f>
        <v/>
      </c>
      <c r="T103" s="12" t="n">
        <v>48</v>
      </c>
      <c r="U103" s="13">
        <f>T103/$D$103</f>
        <v/>
      </c>
      <c r="V103" s="8" t="inlineStr"/>
    </row>
    <row r="104">
      <c r="A104" s="7" t="n">
        <v>100</v>
      </c>
      <c r="B104" s="8" t="inlineStr">
        <is>
          <t>Setia Ecohill 2</t>
        </is>
      </c>
      <c r="C104" s="9" t="n">
        <v>43692</v>
      </c>
      <c r="D104" s="10" t="n">
        <v>66</v>
      </c>
      <c r="E104" s="7" t="inlineStr">
        <is>
          <t>14421-11</t>
        </is>
      </c>
      <c r="F104" s="8" t="inlineStr"/>
      <c r="G104" s="10" t="n"/>
      <c r="H104" s="10" t="n">
        <v>45</v>
      </c>
      <c r="I104" s="11">
        <f>H104/$D$104</f>
        <v/>
      </c>
      <c r="J104" s="10">
        <f>K104-H104</f>
        <v/>
      </c>
      <c r="K104" s="10" t="n">
        <v>45</v>
      </c>
      <c r="L104" s="11">
        <f>K104/$D$104</f>
        <v/>
      </c>
      <c r="M104" s="10">
        <f>N104-K104</f>
        <v/>
      </c>
      <c r="N104" s="10" t="n">
        <v>45</v>
      </c>
      <c r="O104" s="11">
        <f>N104/$D$104</f>
        <v/>
      </c>
      <c r="P104" s="10">
        <f>Q104-N104</f>
        <v/>
      </c>
      <c r="Q104" s="10" t="n">
        <v>45</v>
      </c>
      <c r="R104" s="11">
        <f>Q104/$D$104</f>
        <v/>
      </c>
      <c r="S104" s="12">
        <f>T104-Q104</f>
        <v/>
      </c>
      <c r="T104" s="12" t="n">
        <v>45</v>
      </c>
      <c r="U104" s="13">
        <f>T104/$D$104</f>
        <v/>
      </c>
      <c r="V104" s="8" t="inlineStr"/>
    </row>
    <row r="105">
      <c r="A105" s="7" t="n">
        <v>101</v>
      </c>
      <c r="B105" s="8" t="inlineStr">
        <is>
          <t>Aronia</t>
        </is>
      </c>
      <c r="C105" s="9" t="n">
        <v>43762</v>
      </c>
      <c r="D105" s="10" t="n">
        <v>86</v>
      </c>
      <c r="E105" s="7" t="inlineStr">
        <is>
          <t>14421-12</t>
        </is>
      </c>
      <c r="F105" s="8" t="inlineStr"/>
      <c r="G105" s="10" t="n"/>
      <c r="H105" s="10" t="n">
        <v>65</v>
      </c>
      <c r="I105" s="11">
        <f>H105/$D$105</f>
        <v/>
      </c>
      <c r="J105" s="10">
        <f>K105-H105</f>
        <v/>
      </c>
      <c r="K105" s="10" t="n">
        <v>65</v>
      </c>
      <c r="L105" s="11">
        <f>K105/$D$105</f>
        <v/>
      </c>
      <c r="M105" s="10">
        <f>N105-K105</f>
        <v/>
      </c>
      <c r="N105" s="10" t="n">
        <v>65</v>
      </c>
      <c r="O105" s="11">
        <f>N105/$D$105</f>
        <v/>
      </c>
      <c r="P105" s="10">
        <f>Q105-N105</f>
        <v/>
      </c>
      <c r="Q105" s="10" t="n">
        <v>65</v>
      </c>
      <c r="R105" s="11">
        <f>Q105/$D$105</f>
        <v/>
      </c>
      <c r="S105" s="12">
        <f>T105-Q105</f>
        <v/>
      </c>
      <c r="T105" s="12" t="n">
        <v>65</v>
      </c>
      <c r="U105" s="13">
        <f>T105/$D$105</f>
        <v/>
      </c>
      <c r="V105" s="8" t="inlineStr"/>
    </row>
    <row r="106">
      <c r="A106" s="7" t="n">
        <v>102</v>
      </c>
      <c r="B106" s="8" t="inlineStr">
        <is>
          <t>Setia Ecohill 2</t>
        </is>
      </c>
      <c r="C106" s="9" t="n">
        <v>43834</v>
      </c>
      <c r="D106" s="10" t="n">
        <v>105</v>
      </c>
      <c r="E106" s="7" t="inlineStr">
        <is>
          <t>14421-13</t>
        </is>
      </c>
      <c r="F106" s="8" t="inlineStr"/>
      <c r="G106" s="10" t="n"/>
      <c r="H106" s="10" t="n">
        <v>105</v>
      </c>
      <c r="I106" s="11">
        <f>H106/$D$106</f>
        <v/>
      </c>
      <c r="J106" s="10">
        <f>K106-H106</f>
        <v/>
      </c>
      <c r="K106" s="10" t="n">
        <v>105</v>
      </c>
      <c r="L106" s="11">
        <f>K106/$D$106</f>
        <v/>
      </c>
      <c r="M106" s="10">
        <f>N106-K106</f>
        <v/>
      </c>
      <c r="N106" s="10" t="n">
        <v>105</v>
      </c>
      <c r="O106" s="11">
        <f>N106/$D$106</f>
        <v/>
      </c>
      <c r="P106" s="10">
        <f>Q106-N106</f>
        <v/>
      </c>
      <c r="Q106" s="10" t="n">
        <v>105</v>
      </c>
      <c r="R106" s="11">
        <f>Q106/$D$106</f>
        <v/>
      </c>
      <c r="S106" s="12">
        <f>T106-Q106</f>
        <v/>
      </c>
      <c r="T106" s="12" t="n">
        <v>105</v>
      </c>
      <c r="U106" s="13">
        <f>T106/$D$106</f>
        <v/>
      </c>
      <c r="V106" s="8" t="inlineStr"/>
    </row>
    <row r="107">
      <c r="A107" s="7" t="n">
        <v>103</v>
      </c>
      <c r="B107" s="8" t="inlineStr">
        <is>
          <t>Acorus</t>
        </is>
      </c>
      <c r="C107" s="9" t="n">
        <v>44222</v>
      </c>
      <c r="D107" s="10" t="n">
        <v>69</v>
      </c>
      <c r="E107" s="7" t="inlineStr">
        <is>
          <t>14421-14</t>
        </is>
      </c>
      <c r="F107" s="8" t="inlineStr"/>
      <c r="G107" s="10" t="n"/>
      <c r="H107" s="10" t="n">
        <v>69</v>
      </c>
      <c r="I107" s="11">
        <f>H107/$D$107</f>
        <v/>
      </c>
      <c r="J107" s="10">
        <f>K107-H107</f>
        <v/>
      </c>
      <c r="K107" s="10" t="n">
        <v>69</v>
      </c>
      <c r="L107" s="11">
        <f>K107/$D$107</f>
        <v/>
      </c>
      <c r="M107" s="10">
        <f>N107-K107</f>
        <v/>
      </c>
      <c r="N107" s="10" t="n">
        <v>69</v>
      </c>
      <c r="O107" s="11">
        <f>N107/$D$107</f>
        <v/>
      </c>
      <c r="P107" s="10">
        <f>Q107-N107</f>
        <v/>
      </c>
      <c r="Q107" s="10" t="n">
        <v>69</v>
      </c>
      <c r="R107" s="11">
        <f>Q107/$D$107</f>
        <v/>
      </c>
      <c r="S107" s="12">
        <f>T107-Q107</f>
        <v/>
      </c>
      <c r="T107" s="12" t="n">
        <v>69</v>
      </c>
      <c r="U107" s="13">
        <f>T107/$D$107</f>
        <v/>
      </c>
      <c r="V107" s="8" t="inlineStr"/>
    </row>
    <row r="108">
      <c r="A108" s="7" t="n">
        <v>104</v>
      </c>
      <c r="B108" s="8" t="inlineStr">
        <is>
          <t>Acorus 2</t>
        </is>
      </c>
      <c r="C108" s="9" t="n">
        <v>44279</v>
      </c>
      <c r="D108" s="10" t="n">
        <v>62</v>
      </c>
      <c r="E108" s="7" t="inlineStr">
        <is>
          <t>14421-15</t>
        </is>
      </c>
      <c r="F108" s="8" t="inlineStr"/>
      <c r="G108" s="10" t="n"/>
      <c r="H108" s="10" t="n">
        <v>62</v>
      </c>
      <c r="I108" s="11">
        <f>H108/$D$108</f>
        <v/>
      </c>
      <c r="J108" s="10">
        <f>K108-H108</f>
        <v/>
      </c>
      <c r="K108" s="10" t="n">
        <v>62</v>
      </c>
      <c r="L108" s="11">
        <f>K108/$D$108</f>
        <v/>
      </c>
      <c r="M108" s="10">
        <f>N108-K108</f>
        <v/>
      </c>
      <c r="N108" s="10" t="n">
        <v>62</v>
      </c>
      <c r="O108" s="11">
        <f>N108/$D$108</f>
        <v/>
      </c>
      <c r="P108" s="10">
        <f>Q108-N108</f>
        <v/>
      </c>
      <c r="Q108" s="10" t="n">
        <v>62</v>
      </c>
      <c r="R108" s="11">
        <f>Q108/$D$108</f>
        <v/>
      </c>
      <c r="S108" s="12">
        <f>T108-Q108</f>
        <v/>
      </c>
      <c r="T108" s="12" t="n">
        <v>62</v>
      </c>
      <c r="U108" s="13">
        <f>T108/$D$108</f>
        <v/>
      </c>
      <c r="V108" s="8" t="inlineStr"/>
    </row>
    <row r="109">
      <c r="A109" s="7" t="n">
        <v>105</v>
      </c>
      <c r="B109" s="8" t="inlineStr">
        <is>
          <t>Farina</t>
        </is>
      </c>
      <c r="C109" s="9" t="n">
        <v>44391</v>
      </c>
      <c r="D109" s="10" t="n">
        <v>76</v>
      </c>
      <c r="E109" s="7" t="inlineStr">
        <is>
          <t>14421-16</t>
        </is>
      </c>
      <c r="F109" s="8" t="inlineStr"/>
      <c r="G109" s="10" t="n"/>
      <c r="H109" s="10" t="n">
        <v>76</v>
      </c>
      <c r="I109" s="11">
        <f>H109/$D$109</f>
        <v/>
      </c>
      <c r="J109" s="10">
        <f>K109-H109</f>
        <v/>
      </c>
      <c r="K109" s="10" t="n">
        <v>76</v>
      </c>
      <c r="L109" s="11">
        <f>K109/$D$109</f>
        <v/>
      </c>
      <c r="M109" s="10">
        <f>N109-K109</f>
        <v/>
      </c>
      <c r="N109" s="10" t="n">
        <v>76</v>
      </c>
      <c r="O109" s="11">
        <f>N109/$D$109</f>
        <v/>
      </c>
      <c r="P109" s="10">
        <f>Q109-N109</f>
        <v/>
      </c>
      <c r="Q109" s="10" t="n">
        <v>76</v>
      </c>
      <c r="R109" s="11">
        <f>Q109/$D$109</f>
        <v/>
      </c>
      <c r="S109" s="12">
        <f>T109-Q109</f>
        <v/>
      </c>
      <c r="T109" s="12" t="n">
        <v>76</v>
      </c>
      <c r="U109" s="13">
        <f>T109/$D$109</f>
        <v/>
      </c>
      <c r="V109" s="8" t="inlineStr"/>
    </row>
    <row r="110">
      <c r="A110" s="7" t="n">
        <v>106</v>
      </c>
      <c r="B110" s="8" t="inlineStr">
        <is>
          <t>Azolla</t>
        </is>
      </c>
      <c r="C110" s="9" t="n">
        <v>44498</v>
      </c>
      <c r="D110" s="10" t="n">
        <v>76</v>
      </c>
      <c r="E110" s="7" t="inlineStr">
        <is>
          <t>14421-17</t>
        </is>
      </c>
      <c r="F110" s="8" t="inlineStr"/>
      <c r="G110" s="10" t="n"/>
      <c r="H110" s="10" t="n">
        <v>25</v>
      </c>
      <c r="I110" s="11">
        <f>H110/$D$110</f>
        <v/>
      </c>
      <c r="J110" s="10">
        <f>K110-H110</f>
        <v/>
      </c>
      <c r="K110" s="10" t="n">
        <v>25</v>
      </c>
      <c r="L110" s="11">
        <f>K110/$D$110</f>
        <v/>
      </c>
      <c r="M110" s="10">
        <f>N110-K110</f>
        <v/>
      </c>
      <c r="N110" s="10" t="n">
        <v>25</v>
      </c>
      <c r="O110" s="11">
        <f>N110/$D$110</f>
        <v/>
      </c>
      <c r="P110" s="10">
        <f>Q110-N110</f>
        <v/>
      </c>
      <c r="Q110" s="10" t="n">
        <v>25</v>
      </c>
      <c r="R110" s="11">
        <f>Q110/$D$110</f>
        <v/>
      </c>
      <c r="S110" s="12">
        <f>T110-Q110</f>
        <v/>
      </c>
      <c r="T110" s="12" t="n">
        <v>25</v>
      </c>
      <c r="U110" s="13">
        <f>T110/$D$110</f>
        <v/>
      </c>
      <c r="V110" s="8" t="inlineStr"/>
    </row>
    <row r="111">
      <c r="A111" s="7" t="n">
        <v>107</v>
      </c>
      <c r="B111" s="8" t="inlineStr">
        <is>
          <t>Carnus 2</t>
        </is>
      </c>
      <c r="C111" s="9" t="n">
        <v>44526</v>
      </c>
      <c r="D111" s="10" t="n">
        <v>66</v>
      </c>
      <c r="E111" s="7" t="inlineStr">
        <is>
          <t>14421-18</t>
        </is>
      </c>
      <c r="F111" s="8" t="inlineStr"/>
      <c r="G111" s="10" t="n"/>
      <c r="H111" s="10" t="n">
        <v>66</v>
      </c>
      <c r="I111" s="11">
        <f>H111/$D$111</f>
        <v/>
      </c>
      <c r="J111" s="10">
        <f>K111-H111</f>
        <v/>
      </c>
      <c r="K111" s="10" t="n">
        <v>66</v>
      </c>
      <c r="L111" s="11">
        <f>K111/$D$111</f>
        <v/>
      </c>
      <c r="M111" s="10">
        <f>N111-K111</f>
        <v/>
      </c>
      <c r="N111" s="10" t="n">
        <v>66</v>
      </c>
      <c r="O111" s="11">
        <f>N111/$D$111</f>
        <v/>
      </c>
      <c r="P111" s="10">
        <f>Q111-N111</f>
        <v/>
      </c>
      <c r="Q111" s="10" t="n">
        <v>66</v>
      </c>
      <c r="R111" s="11">
        <f>Q111/$D$111</f>
        <v/>
      </c>
      <c r="S111" s="12">
        <f>T111-Q111</f>
        <v/>
      </c>
      <c r="T111" s="12" t="n">
        <v>66</v>
      </c>
      <c r="U111" s="13">
        <f>T111/$D$111</f>
        <v/>
      </c>
      <c r="V111" s="8" t="inlineStr"/>
    </row>
    <row r="112">
      <c r="A112" s="7" t="n">
        <v>108</v>
      </c>
      <c r="B112" s="8" t="inlineStr">
        <is>
          <t>Beronia</t>
        </is>
      </c>
      <c r="C112" s="9" t="n">
        <v>44757</v>
      </c>
      <c r="D112" s="10" t="n">
        <v>77</v>
      </c>
      <c r="E112" s="7" t="inlineStr">
        <is>
          <t>14421-19</t>
        </is>
      </c>
      <c r="F112" s="8" t="inlineStr"/>
      <c r="G112" s="10" t="n"/>
      <c r="H112" s="10" t="n">
        <v>2</v>
      </c>
      <c r="I112" s="11">
        <f>H112/$D$112</f>
        <v/>
      </c>
      <c r="J112" s="10">
        <f>K112-H112</f>
        <v/>
      </c>
      <c r="K112" s="10" t="n">
        <v>2</v>
      </c>
      <c r="L112" s="11">
        <f>K112/$D$112</f>
        <v/>
      </c>
      <c r="M112" s="10">
        <f>N112-K112</f>
        <v/>
      </c>
      <c r="N112" s="10" t="n">
        <v>2</v>
      </c>
      <c r="O112" s="11">
        <f>N112/$D$112</f>
        <v/>
      </c>
      <c r="P112" s="10">
        <f>Q112-N112</f>
        <v/>
      </c>
      <c r="Q112" s="10" t="n">
        <v>2</v>
      </c>
      <c r="R112" s="11">
        <f>Q112/$D$112</f>
        <v/>
      </c>
      <c r="S112" s="12">
        <f>T112-Q112</f>
        <v/>
      </c>
      <c r="T112" s="12" t="n">
        <v>2</v>
      </c>
      <c r="U112" s="13">
        <f>T112/$D$112</f>
        <v/>
      </c>
      <c r="V112" s="8" t="inlineStr"/>
    </row>
    <row r="113">
      <c r="A113" s="7" t="n">
        <v>109</v>
      </c>
      <c r="B113" s="8" t="inlineStr">
        <is>
          <t>Setia Ecohill 2</t>
        </is>
      </c>
      <c r="C113" s="9" t="n">
        <v>44867</v>
      </c>
      <c r="D113" s="10" t="n">
        <v>84</v>
      </c>
      <c r="E113" s="7" t="inlineStr">
        <is>
          <t>14421-20</t>
        </is>
      </c>
      <c r="F113" s="8" t="inlineStr"/>
      <c r="G113" s="10" t="n"/>
      <c r="H113" s="10" t="n">
        <v>78</v>
      </c>
      <c r="I113" s="11">
        <f>H113/$D$113</f>
        <v/>
      </c>
      <c r="J113" s="10">
        <f>K113-H113</f>
        <v/>
      </c>
      <c r="K113" s="10" t="n">
        <v>78</v>
      </c>
      <c r="L113" s="11">
        <f>K113/$D$113</f>
        <v/>
      </c>
      <c r="M113" s="10">
        <f>N113-K113</f>
        <v/>
      </c>
      <c r="N113" s="10" t="n">
        <v>78</v>
      </c>
      <c r="O113" s="11">
        <f>N113/$D$113</f>
        <v/>
      </c>
      <c r="P113" s="10">
        <f>Q113-N113</f>
        <v/>
      </c>
      <c r="Q113" s="10" t="n">
        <v>78</v>
      </c>
      <c r="R113" s="11">
        <f>Q113/$D$113</f>
        <v/>
      </c>
      <c r="S113" s="12">
        <f>T113-Q113</f>
        <v/>
      </c>
      <c r="T113" s="12" t="n">
        <v>78</v>
      </c>
      <c r="U113" s="13">
        <f>T113/$D$113</f>
        <v/>
      </c>
      <c r="V113" s="8" t="inlineStr"/>
    </row>
    <row r="114">
      <c r="A114" s="7" t="n">
        <v>110</v>
      </c>
      <c r="B114" s="8" t="inlineStr">
        <is>
          <t>Setia Ecohill 2</t>
        </is>
      </c>
      <c r="C114" s="9" t="n">
        <v>45016</v>
      </c>
      <c r="D114" s="10" t="n">
        <v>99</v>
      </c>
      <c r="E114" s="7" t="inlineStr">
        <is>
          <t>14421-21</t>
        </is>
      </c>
      <c r="F114" s="8" t="inlineStr"/>
      <c r="G114" s="10" t="n"/>
      <c r="H114" s="10" t="n">
        <v>77</v>
      </c>
      <c r="I114" s="11">
        <f>H114/$D$114</f>
        <v/>
      </c>
      <c r="J114" s="10">
        <f>K114-H114</f>
        <v/>
      </c>
      <c r="K114" s="10" t="n">
        <v>77</v>
      </c>
      <c r="L114" s="11">
        <f>K114/$D$114</f>
        <v/>
      </c>
      <c r="M114" s="10">
        <f>N114-K114</f>
        <v/>
      </c>
      <c r="N114" s="10" t="n">
        <v>77</v>
      </c>
      <c r="O114" s="11">
        <f>N114/$D$114</f>
        <v/>
      </c>
      <c r="P114" s="10">
        <f>Q114-N114</f>
        <v/>
      </c>
      <c r="Q114" s="10" t="n">
        <v>77</v>
      </c>
      <c r="R114" s="11">
        <f>Q114/$D$114</f>
        <v/>
      </c>
      <c r="S114" s="12">
        <f>T114-Q114</f>
        <v/>
      </c>
      <c r="T114" s="12" t="n">
        <v>77</v>
      </c>
      <c r="U114" s="13">
        <f>T114/$D$114</f>
        <v/>
      </c>
      <c r="V114" s="8" t="inlineStr"/>
    </row>
    <row r="115">
      <c r="A115" s="7" t="n">
        <v>111</v>
      </c>
      <c r="B115" s="8" t="inlineStr">
        <is>
          <t>Kandara</t>
        </is>
      </c>
      <c r="C115" s="9" t="n">
        <v>43693</v>
      </c>
      <c r="D115" s="10" t="n">
        <v>34</v>
      </c>
      <c r="E115" s="7" t="inlineStr">
        <is>
          <t>19740-1</t>
        </is>
      </c>
      <c r="F115" s="8" t="inlineStr"/>
      <c r="G115" s="10" t="n"/>
      <c r="H115" s="10" t="n">
        <v>34</v>
      </c>
      <c r="I115" s="11">
        <f>H115/$D$115</f>
        <v/>
      </c>
      <c r="J115" s="10">
        <f>K115-H115</f>
        <v/>
      </c>
      <c r="K115" s="10" t="n">
        <v>34</v>
      </c>
      <c r="L115" s="11">
        <f>K115/$D$115</f>
        <v/>
      </c>
      <c r="M115" s="10">
        <f>N115-K115</f>
        <v/>
      </c>
      <c r="N115" s="10" t="n">
        <v>34</v>
      </c>
      <c r="O115" s="11">
        <f>N115/$D$115</f>
        <v/>
      </c>
      <c r="P115" s="10">
        <f>Q115-N115</f>
        <v/>
      </c>
      <c r="Q115" s="10" t="n">
        <v>34</v>
      </c>
      <c r="R115" s="11">
        <f>Q115/$D$115</f>
        <v/>
      </c>
      <c r="S115" s="12">
        <f>T115-Q115</f>
        <v/>
      </c>
      <c r="T115" s="12" t="n">
        <v>34</v>
      </c>
      <c r="U115" s="13">
        <f>T115/$D$115</f>
        <v/>
      </c>
      <c r="V115" s="8" t="inlineStr"/>
    </row>
    <row r="116">
      <c r="A116" s="7" t="n">
        <v>112</v>
      </c>
      <c r="B116" s="8" t="inlineStr">
        <is>
          <t>Allia &amp; Kandara</t>
        </is>
      </c>
      <c r="C116" s="9" t="n">
        <v>43727</v>
      </c>
      <c r="D116" s="10" t="n">
        <v>26</v>
      </c>
      <c r="E116" s="7" t="inlineStr">
        <is>
          <t>19740-2</t>
        </is>
      </c>
      <c r="F116" s="8" t="inlineStr"/>
      <c r="G116" s="10" t="n"/>
      <c r="H116" s="10" t="n">
        <v>18</v>
      </c>
      <c r="I116" s="11">
        <f>H116/$D$116</f>
        <v/>
      </c>
      <c r="J116" s="10">
        <f>K116-H116</f>
        <v/>
      </c>
      <c r="K116" s="10" t="n">
        <v>18</v>
      </c>
      <c r="L116" s="11">
        <f>K116/$D$116</f>
        <v/>
      </c>
      <c r="M116" s="10">
        <f>N116-K116</f>
        <v/>
      </c>
      <c r="N116" s="10" t="n">
        <v>18</v>
      </c>
      <c r="O116" s="11">
        <f>N116/$D$116</f>
        <v/>
      </c>
      <c r="P116" s="10">
        <f>Q116-N116</f>
        <v/>
      </c>
      <c r="Q116" s="10" t="n">
        <v>18</v>
      </c>
      <c r="R116" s="11">
        <f>Q116/$D$116</f>
        <v/>
      </c>
      <c r="S116" s="12">
        <f>T116-Q116</f>
        <v/>
      </c>
      <c r="T116" s="12" t="n">
        <v>18</v>
      </c>
      <c r="U116" s="13">
        <f>T116/$D$116</f>
        <v/>
      </c>
      <c r="V116" s="8" t="inlineStr"/>
    </row>
    <row r="117">
      <c r="A117" s="7" t="n">
        <v>113</v>
      </c>
      <c r="B117" s="8" t="inlineStr">
        <is>
          <t>Kayana</t>
        </is>
      </c>
      <c r="C117" s="9" t="n">
        <v>43769</v>
      </c>
      <c r="D117" s="10" t="n">
        <v>36</v>
      </c>
      <c r="E117" s="7" t="inlineStr">
        <is>
          <t>19740-3</t>
        </is>
      </c>
      <c r="F117" s="8" t="inlineStr"/>
      <c r="G117" s="10" t="n"/>
      <c r="H117" s="10" t="n">
        <v>9</v>
      </c>
      <c r="I117" s="11">
        <f>H117/$D$117</f>
        <v/>
      </c>
      <c r="J117" s="10">
        <f>K117-H117</f>
        <v/>
      </c>
      <c r="K117" s="10" t="n">
        <v>9</v>
      </c>
      <c r="L117" s="11">
        <f>K117/$D$117</f>
        <v/>
      </c>
      <c r="M117" s="10">
        <f>N117-K117</f>
        <v/>
      </c>
      <c r="N117" s="10" t="n">
        <v>9</v>
      </c>
      <c r="O117" s="11">
        <f>N117/$D$117</f>
        <v/>
      </c>
      <c r="P117" s="10">
        <f>Q117-N117</f>
        <v/>
      </c>
      <c r="Q117" s="10" t="n">
        <v>9</v>
      </c>
      <c r="R117" s="11">
        <f>Q117/$D$117</f>
        <v/>
      </c>
      <c r="S117" s="12">
        <f>T117-Q117</f>
        <v/>
      </c>
      <c r="T117" s="12" t="n">
        <v>9</v>
      </c>
      <c r="U117" s="13">
        <f>T117/$D$117</f>
        <v/>
      </c>
      <c r="V117" s="8" t="inlineStr"/>
    </row>
    <row r="118">
      <c r="A118" s="7" t="n">
        <v>114</v>
      </c>
      <c r="B118" s="8" t="inlineStr">
        <is>
          <t>Kastela</t>
        </is>
      </c>
      <c r="C118" s="9" t="n">
        <v>44635</v>
      </c>
      <c r="D118" s="10" t="n">
        <v>29</v>
      </c>
      <c r="E118" s="7" t="inlineStr">
        <is>
          <t>19740-4</t>
        </is>
      </c>
      <c r="F118" s="8" t="inlineStr"/>
      <c r="G118" s="10" t="n"/>
      <c r="H118" s="10" t="n">
        <v>29</v>
      </c>
      <c r="I118" s="11">
        <f>H118/$D$118</f>
        <v/>
      </c>
      <c r="J118" s="10">
        <f>K118-H118</f>
        <v/>
      </c>
      <c r="K118" s="10" t="n">
        <v>29</v>
      </c>
      <c r="L118" s="11">
        <f>K118/$D$118</f>
        <v/>
      </c>
      <c r="M118" s="10">
        <f>N118-K118</f>
        <v/>
      </c>
      <c r="N118" s="10" t="n">
        <v>29</v>
      </c>
      <c r="O118" s="11">
        <f>N118/$D$118</f>
        <v/>
      </c>
      <c r="P118" s="10">
        <f>Q118-N118</f>
        <v/>
      </c>
      <c r="Q118" s="10" t="n">
        <v>29</v>
      </c>
      <c r="R118" s="11">
        <f>Q118/$D$118</f>
        <v/>
      </c>
      <c r="S118" s="12">
        <f>T118-Q118</f>
        <v/>
      </c>
      <c r="T118" s="12" t="n">
        <v>29</v>
      </c>
      <c r="U118" s="13">
        <f>T118/$D$118</f>
        <v/>
      </c>
      <c r="V118" s="8" t="inlineStr"/>
    </row>
    <row r="119">
      <c r="A119" s="7" t="n">
        <v>115</v>
      </c>
      <c r="B119" s="8" t="inlineStr">
        <is>
          <t>Setia Mayuri</t>
        </is>
      </c>
      <c r="C119" s="9" t="n">
        <v>44994</v>
      </c>
      <c r="D119" s="10" t="n">
        <v>8</v>
      </c>
      <c r="E119" s="7" t="inlineStr">
        <is>
          <t>19740-5</t>
        </is>
      </c>
      <c r="F119" s="8" t="inlineStr"/>
      <c r="G119" s="10" t="n"/>
      <c r="H119" s="10" t="n">
        <v>8</v>
      </c>
      <c r="I119" s="11">
        <f>H119/$D$119</f>
        <v/>
      </c>
      <c r="J119" s="10">
        <f>K119-H119</f>
        <v/>
      </c>
      <c r="K119" s="10" t="n">
        <v>8</v>
      </c>
      <c r="L119" s="11">
        <f>K119/$D$119</f>
        <v/>
      </c>
      <c r="M119" s="10">
        <f>N119-K119</f>
        <v/>
      </c>
      <c r="N119" s="10" t="n">
        <v>8</v>
      </c>
      <c r="O119" s="11">
        <f>N119/$D$119</f>
        <v/>
      </c>
      <c r="P119" s="10">
        <f>Q119-N119</f>
        <v/>
      </c>
      <c r="Q119" s="10" t="n">
        <v>8</v>
      </c>
      <c r="R119" s="11">
        <f>Q119/$D$119</f>
        <v/>
      </c>
      <c r="S119" s="12">
        <f>T119-Q119</f>
        <v/>
      </c>
      <c r="T119" s="12" t="n">
        <v>8</v>
      </c>
      <c r="U119" s="13">
        <f>T119/$D$119</f>
        <v/>
      </c>
      <c r="V119" s="8" t="inlineStr"/>
    </row>
    <row r="120">
      <c r="A120" s="7" t="n">
        <v>116</v>
      </c>
      <c r="B120" s="8" t="inlineStr">
        <is>
          <t>Setia Mayuri</t>
        </is>
      </c>
      <c r="C120" s="9" t="n">
        <v>44994</v>
      </c>
      <c r="D120" s="10" t="n">
        <v>26</v>
      </c>
      <c r="E120" s="7" t="inlineStr">
        <is>
          <t>19740-6</t>
        </is>
      </c>
      <c r="F120" s="8" t="inlineStr"/>
      <c r="G120" s="10" t="n"/>
      <c r="H120" s="10" t="n">
        <v>20</v>
      </c>
      <c r="I120" s="11">
        <f>H120/$D$120</f>
        <v/>
      </c>
      <c r="J120" s="10">
        <f>K120-H120</f>
        <v/>
      </c>
      <c r="K120" s="10" t="n">
        <v>20</v>
      </c>
      <c r="L120" s="11">
        <f>K120/$D$120</f>
        <v/>
      </c>
      <c r="M120" s="10">
        <f>N120-K120</f>
        <v/>
      </c>
      <c r="N120" s="10" t="n">
        <v>20</v>
      </c>
      <c r="O120" s="11">
        <f>N120/$D$120</f>
        <v/>
      </c>
      <c r="P120" s="10">
        <f>Q120-N120</f>
        <v/>
      </c>
      <c r="Q120" s="10" t="n">
        <v>20</v>
      </c>
      <c r="R120" s="11">
        <f>Q120/$D$120</f>
        <v/>
      </c>
      <c r="S120" s="12">
        <f>T120-Q120</f>
        <v/>
      </c>
      <c r="T120" s="12" t="n">
        <v>20</v>
      </c>
      <c r="U120" s="13">
        <f>T120/$D$120</f>
        <v/>
      </c>
      <c r="V120" s="8" t="inlineStr"/>
    </row>
    <row r="121">
      <c r="A121" s="7" t="n">
        <v>117</v>
      </c>
      <c r="B121" s="8" t="inlineStr">
        <is>
          <t>Amansara North</t>
        </is>
      </c>
      <c r="C121" s="9" t="n">
        <v>44911</v>
      </c>
      <c r="D121" s="10" t="n">
        <v>192</v>
      </c>
      <c r="E121" s="7" t="inlineStr">
        <is>
          <t>19732-4</t>
        </is>
      </c>
      <c r="F121" s="8" t="inlineStr"/>
      <c r="G121" s="10" t="n"/>
      <c r="H121" s="10" t="n">
        <v>176</v>
      </c>
      <c r="I121" s="11">
        <f>H121/$D$121</f>
        <v/>
      </c>
      <c r="J121" s="10">
        <f>K121-H121</f>
        <v/>
      </c>
      <c r="K121" s="10" t="n">
        <v>176</v>
      </c>
      <c r="L121" s="11">
        <f>K121/$D$121</f>
        <v/>
      </c>
      <c r="M121" s="10">
        <f>N121-K121</f>
        <v/>
      </c>
      <c r="N121" s="10" t="n">
        <v>176</v>
      </c>
      <c r="O121" s="11">
        <f>N121/$D$121</f>
        <v/>
      </c>
      <c r="P121" s="10">
        <f>Q121-N121</f>
        <v/>
      </c>
      <c r="Q121" s="10" t="n">
        <v>176</v>
      </c>
      <c r="R121" s="11">
        <f>Q121/$D$121</f>
        <v/>
      </c>
      <c r="S121" s="12">
        <f>T121-Q121</f>
        <v/>
      </c>
      <c r="T121" s="12" t="n">
        <v>176</v>
      </c>
      <c r="U121" s="13">
        <f>T121/$D$121</f>
        <v/>
      </c>
      <c r="V121" s="8" t="inlineStr"/>
    </row>
    <row r="122">
      <c r="A122" s="7" t="n">
        <v>118</v>
      </c>
      <c r="B122" s="8" t="inlineStr">
        <is>
          <t>Amansara North</t>
        </is>
      </c>
      <c r="C122" s="9" t="n">
        <v>45002</v>
      </c>
      <c r="D122" s="10" t="n">
        <v>180</v>
      </c>
      <c r="E122" s="7" t="inlineStr">
        <is>
          <t>19732-5</t>
        </is>
      </c>
      <c r="F122" s="8" t="inlineStr"/>
      <c r="G122" s="10" t="n"/>
      <c r="H122" s="10" t="n">
        <v>134</v>
      </c>
      <c r="I122" s="11">
        <f>H122/$D$122</f>
        <v/>
      </c>
      <c r="J122" s="10">
        <f>K122-H122</f>
        <v/>
      </c>
      <c r="K122" s="10" t="n">
        <v>134</v>
      </c>
      <c r="L122" s="11">
        <f>K122/$D$122</f>
        <v/>
      </c>
      <c r="M122" s="10">
        <f>N122-K122</f>
        <v/>
      </c>
      <c r="N122" s="10" t="n">
        <v>134</v>
      </c>
      <c r="O122" s="11">
        <f>N122/$D$122</f>
        <v/>
      </c>
      <c r="P122" s="10">
        <f>Q122-N122</f>
        <v/>
      </c>
      <c r="Q122" s="10" t="n">
        <v>134</v>
      </c>
      <c r="R122" s="11">
        <f>Q122/$D$122</f>
        <v/>
      </c>
      <c r="S122" s="12">
        <f>T122-Q122</f>
        <v/>
      </c>
      <c r="T122" s="12" t="n">
        <v>134</v>
      </c>
      <c r="U122" s="13">
        <f>T122/$D$122</f>
        <v/>
      </c>
      <c r="V122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Y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(TRINITY GROUP)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Trinity Nordic/Zia</t>
        </is>
      </c>
      <c r="C5" s="9" t="n">
        <v>45813</v>
      </c>
      <c r="D5" s="10" t="n">
        <v>714</v>
      </c>
      <c r="E5" s="7" t="inlineStr">
        <is>
          <t>30857-1</t>
        </is>
      </c>
      <c r="F5" s="8" t="inlineStr">
        <is>
          <t>OLYMPIC BUILDERS SDN. BHD.</t>
        </is>
      </c>
      <c r="G5" s="10" t="n"/>
      <c r="H5" s="10" t="n">
        <v>36</v>
      </c>
      <c r="I5" s="11">
        <f>H5/$D$5</f>
        <v/>
      </c>
      <c r="J5" s="10">
        <f>K5-H5</f>
        <v/>
      </c>
      <c r="K5" s="10" t="n">
        <v>36</v>
      </c>
      <c r="L5" s="11">
        <f>K5/$D$5</f>
        <v/>
      </c>
      <c r="M5" s="10">
        <f>N5-K5</f>
        <v/>
      </c>
      <c r="N5" s="10" t="n">
        <v>35</v>
      </c>
      <c r="O5" s="11">
        <f>N5/$D$5</f>
        <v/>
      </c>
      <c r="P5" s="10">
        <f>Q5-N5</f>
        <v/>
      </c>
      <c r="Q5" s="10" t="n">
        <v>36</v>
      </c>
      <c r="R5" s="11">
        <f>Q5/$D$5</f>
        <v/>
      </c>
      <c r="S5" s="10">
        <f>T5-Q5</f>
        <v/>
      </c>
      <c r="T5" s="10" t="n">
        <v>36</v>
      </c>
      <c r="U5" s="11">
        <f>T5/$D$5</f>
        <v/>
      </c>
      <c r="V5" s="12">
        <f>W5-T5</f>
        <v/>
      </c>
      <c r="W5" s="12" t="n">
        <v>36</v>
      </c>
      <c r="X5" s="13">
        <f>W5/$D$5</f>
        <v/>
      </c>
      <c r="Y5" s="8" t="inlineStr">
        <is>
          <t>Latest sales - Block A: 1 units, Block B: 35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7" t="inlineStr">
        <is>
          <t>20140-2</t>
        </is>
      </c>
      <c r="F6" s="8" t="inlineStr">
        <is>
          <t>TRINITY WELLNESSA &amp; ENLIVEA DEVELOPMENT SDN. BHD.</t>
        </is>
      </c>
      <c r="G6" s="10" t="n"/>
      <c r="H6" s="10" t="n">
        <v>348</v>
      </c>
      <c r="I6" s="11">
        <f>H6/$D$6</f>
        <v/>
      </c>
      <c r="J6" s="10">
        <f>K6-H6</f>
        <v/>
      </c>
      <c r="K6" s="10" t="n">
        <v>348</v>
      </c>
      <c r="L6" s="11">
        <f>K6/$D$6</f>
        <v/>
      </c>
      <c r="M6" s="10">
        <f>N6-K6</f>
        <v/>
      </c>
      <c r="N6" s="10" t="n">
        <v>347</v>
      </c>
      <c r="O6" s="11">
        <f>N6/$D$6</f>
        <v/>
      </c>
      <c r="P6" s="10">
        <f>Q6-N6</f>
        <v/>
      </c>
      <c r="Q6" s="10" t="n">
        <v>350</v>
      </c>
      <c r="R6" s="11">
        <f>Q6/$D$6</f>
        <v/>
      </c>
      <c r="S6" s="10">
        <f>T6-Q6</f>
        <v/>
      </c>
      <c r="T6" s="10" t="n">
        <v>352</v>
      </c>
      <c r="U6" s="11">
        <f>T6/$D$6</f>
        <v/>
      </c>
      <c r="V6" s="12">
        <f>W6-T6</f>
        <v/>
      </c>
      <c r="W6" s="12" t="n">
        <v>353</v>
      </c>
      <c r="X6" s="13">
        <f>W6/$D$6</f>
        <v/>
      </c>
      <c r="Y6" s="8" t="inlineStr">
        <is>
          <t>Latest sales - Block A1: 48 units, Block A2: 204 units, Block B: 101 units</t>
        </is>
      </c>
    </row>
    <row r="7">
      <c r="A7" s="7" t="n">
        <v>3</v>
      </c>
      <c r="B7" s="8" t="inlineStr">
        <is>
          <t>Lot 850 @ Ampang</t>
        </is>
      </c>
      <c r="C7" s="9" t="n"/>
      <c r="D7" s="10" t="n">
        <v>0</v>
      </c>
      <c r="E7" s="7" t="inlineStr"/>
      <c r="F7" s="8" t="inlineStr"/>
      <c r="G7" s="10" t="n"/>
      <c r="H7" s="10" t="n"/>
      <c r="I7" s="11" t="n"/>
      <c r="J7" s="10" t="n"/>
      <c r="K7" s="10" t="n"/>
      <c r="L7" s="11" t="n"/>
      <c r="M7" s="10" t="n"/>
      <c r="N7" s="10" t="n"/>
      <c r="O7" s="11" t="n"/>
      <c r="P7" s="10" t="n"/>
      <c r="Q7" s="10" t="n"/>
      <c r="R7" s="11" t="n"/>
      <c r="S7" s="10" t="n"/>
      <c r="T7" s="10" t="n"/>
      <c r="U7" s="11" t="n"/>
      <c r="V7" s="12" t="n"/>
      <c r="W7" s="12" t="n"/>
      <c r="X7" s="13" t="n"/>
      <c r="Y7" s="8" t="inlineStr">
        <is>
          <t>Not launched yet.</t>
        </is>
      </c>
    </row>
    <row r="8">
      <c r="A8" s="7" t="n">
        <v>4</v>
      </c>
      <c r="B8" s="8" t="inlineStr">
        <is>
          <t>MA Land</t>
        </is>
      </c>
      <c r="C8" s="9" t="n"/>
      <c r="D8" s="10" t="n">
        <v>2964</v>
      </c>
      <c r="E8" s="7" t="inlineStr"/>
      <c r="F8" s="8" t="inlineStr"/>
      <c r="G8" s="10" t="n"/>
      <c r="H8" s="10" t="n"/>
      <c r="I8" s="11" t="n"/>
      <c r="J8" s="10" t="n"/>
      <c r="K8" s="10" t="n"/>
      <c r="L8" s="11" t="n"/>
      <c r="M8" s="10" t="n"/>
      <c r="N8" s="10" t="n"/>
      <c r="O8" s="11" t="n"/>
      <c r="P8" s="10" t="n"/>
      <c r="Q8" s="10" t="n"/>
      <c r="R8" s="11" t="n"/>
      <c r="S8" s="10" t="n"/>
      <c r="T8" s="10" t="n"/>
      <c r="U8" s="11" t="n"/>
      <c r="V8" s="12" t="n"/>
      <c r="W8" s="12" t="n"/>
      <c r="X8" s="13" t="n"/>
      <c r="Y8" s="8" t="inlineStr">
        <is>
          <t>Not launched yet.</t>
        </is>
      </c>
    </row>
    <row r="9">
      <c r="A9" s="7" t="n">
        <v>5</v>
      </c>
      <c r="B9" s="8" t="inlineStr">
        <is>
          <t>Permas Jaya – Phase 1</t>
        </is>
      </c>
      <c r="C9" s="9" t="n"/>
      <c r="D9" s="10" t="n">
        <v>0</v>
      </c>
      <c r="E9" s="7" t="inlineStr"/>
      <c r="F9" s="8" t="inlineStr"/>
      <c r="G9" s="10" t="n"/>
      <c r="H9" s="10" t="n"/>
      <c r="I9" s="11" t="n"/>
      <c r="J9" s="10" t="n"/>
      <c r="K9" s="10" t="n"/>
      <c r="L9" s="11" t="n"/>
      <c r="M9" s="10" t="n"/>
      <c r="N9" s="10" t="n"/>
      <c r="O9" s="11" t="n"/>
      <c r="P9" s="10" t="n"/>
      <c r="Q9" s="10" t="n"/>
      <c r="R9" s="11" t="n"/>
      <c r="S9" s="10" t="n"/>
      <c r="T9" s="10" t="n"/>
      <c r="U9" s="11" t="n"/>
      <c r="V9" s="12" t="n"/>
      <c r="W9" s="12" t="n"/>
      <c r="X9" s="13" t="n"/>
      <c r="Y9" s="8" t="inlineStr">
        <is>
          <t>Not launched yet.</t>
        </is>
      </c>
    </row>
    <row r="10">
      <c r="A10" s="7" t="n">
        <v>6</v>
      </c>
      <c r="B10" s="8" t="inlineStr">
        <is>
          <t>Permas Jaya – Phase 2</t>
        </is>
      </c>
      <c r="C10" s="9" t="n"/>
      <c r="D10" s="10" t="n">
        <v>0</v>
      </c>
      <c r="E10" s="7" t="inlineStr"/>
      <c r="F10" s="8" t="inlineStr"/>
      <c r="G10" s="10" t="n"/>
      <c r="H10" s="10" t="n"/>
      <c r="I10" s="11" t="n"/>
      <c r="J10" s="10" t="n"/>
      <c r="K10" s="10" t="n"/>
      <c r="L10" s="11" t="n"/>
      <c r="M10" s="10" t="n"/>
      <c r="N10" s="10" t="n"/>
      <c r="O10" s="11" t="n"/>
      <c r="P10" s="10" t="n"/>
      <c r="Q10" s="10" t="n"/>
      <c r="R10" s="11" t="n"/>
      <c r="S10" s="10" t="n"/>
      <c r="T10" s="10" t="n"/>
      <c r="U10" s="11" t="n"/>
      <c r="V10" s="12" t="n"/>
      <c r="W10" s="12" t="n"/>
      <c r="X10" s="13" t="n"/>
      <c r="Y10" s="8" t="inlineStr">
        <is>
          <t>Not launched yet.</t>
        </is>
      </c>
    </row>
    <row r="11">
      <c r="A11" s="7" t="n">
        <v>7</v>
      </c>
      <c r="B11" s="8" t="inlineStr">
        <is>
          <t>Permas Jaya – Phase 3</t>
        </is>
      </c>
      <c r="C11" s="9" t="n"/>
      <c r="D11" s="10" t="n">
        <v>0</v>
      </c>
      <c r="E11" s="7" t="inlineStr"/>
      <c r="F11" s="8" t="inlineStr"/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2" t="n"/>
      <c r="W11" s="12" t="n"/>
      <c r="X11" s="13" t="n"/>
      <c r="Y11" s="8" t="inlineStr">
        <is>
          <t>Not launched yet.</t>
        </is>
      </c>
    </row>
    <row r="12">
      <c r="A12" s="7" t="n">
        <v>8</v>
      </c>
      <c r="B12" s="8" t="inlineStr">
        <is>
          <t>Trinity Activerse</t>
        </is>
      </c>
      <c r="C12" s="9" t="n"/>
      <c r="D12" s="10" t="n">
        <v>0</v>
      </c>
      <c r="E12" s="7" t="inlineStr"/>
      <c r="F12" s="8" t="inlineStr"/>
      <c r="G12" s="10" t="n"/>
      <c r="H12" s="10" t="n"/>
      <c r="I12" s="11" t="n"/>
      <c r="J12" s="10" t="n"/>
      <c r="K12" s="10" t="n"/>
      <c r="L12" s="11" t="n"/>
      <c r="M12" s="10" t="n"/>
      <c r="N12" s="10" t="n"/>
      <c r="O12" s="11" t="n"/>
      <c r="P12" s="10" t="n"/>
      <c r="Q12" s="10" t="n"/>
      <c r="R12" s="11" t="n"/>
      <c r="S12" s="10" t="n"/>
      <c r="T12" s="10" t="n"/>
      <c r="U12" s="11" t="n"/>
      <c r="V12" s="12" t="n"/>
      <c r="W12" s="12" t="n"/>
      <c r="X12" s="13" t="n"/>
      <c r="Y12" s="8" t="inlineStr">
        <is>
          <t>Not launched yet.</t>
        </is>
      </c>
    </row>
    <row r="13">
      <c r="A13" s="7" t="n">
        <v>9</v>
      </c>
      <c r="B13" s="8" t="inlineStr">
        <is>
          <t>Trinity Rainfora</t>
        </is>
      </c>
      <c r="C13" s="9" t="n">
        <v>45069</v>
      </c>
      <c r="D13" s="10" t="n">
        <v>535</v>
      </c>
      <c r="E13" s="7" t="inlineStr">
        <is>
          <t>10826-4</t>
        </is>
      </c>
      <c r="F13" s="8" t="inlineStr"/>
      <c r="G13" s="10" t="n"/>
      <c r="H13" s="10" t="n">
        <v>333</v>
      </c>
      <c r="I13" s="11">
        <f>H13/$D$13</f>
        <v/>
      </c>
      <c r="J13" s="10">
        <f>K13-H13</f>
        <v/>
      </c>
      <c r="K13" s="10" t="n">
        <v>336</v>
      </c>
      <c r="L13" s="11">
        <f>K13/$D$13</f>
        <v/>
      </c>
      <c r="M13" s="10">
        <f>N13-K13</f>
        <v/>
      </c>
      <c r="N13" s="10" t="n">
        <v>340</v>
      </c>
      <c r="O13" s="11">
        <f>N13/$D$13</f>
        <v/>
      </c>
      <c r="P13" s="10">
        <f>Q13-N13</f>
        <v/>
      </c>
      <c r="Q13" s="10" t="n">
        <v>343</v>
      </c>
      <c r="R13" s="11">
        <f>Q13/$D$13</f>
        <v/>
      </c>
      <c r="S13" s="10">
        <f>T13-Q13</f>
        <v/>
      </c>
      <c r="T13" s="10" t="n">
        <v>348</v>
      </c>
      <c r="U13" s="11">
        <f>T13/$D$13</f>
        <v/>
      </c>
      <c r="V13" s="12">
        <f>W13-T13</f>
        <v/>
      </c>
      <c r="W13" s="12" t="n">
        <v>355</v>
      </c>
      <c r="X13" s="13">
        <f>W13/$D$13</f>
        <v/>
      </c>
      <c r="Y13" s="8" t="inlineStr">
        <is>
          <t>Latest sales - Block A: 199 units, Block B: 156 units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6" customWidth="1" min="25" max="25"/>
  </cols>
  <sheetData>
    <row r="2">
      <c r="A2" s="1" t="inlineStr">
        <is>
          <t>Report as at 08/10/2026</t>
        </is>
      </c>
    </row>
    <row r="3">
      <c r="A3" s="2" t="inlineStr">
        <is>
          <t>WEEKLY TEDUH SALES REPORT (TS LAW)</t>
        </is>
      </c>
      <c r="G3" s="3" t="n">
        <v>46269</v>
      </c>
      <c r="J3" s="3" t="n">
        <v>46276</v>
      </c>
      <c r="M3" s="3" t="n">
        <v>46283</v>
      </c>
      <c r="P3" s="3" t="n">
        <v>46290</v>
      </c>
      <c r="S3" s="3" t="n">
        <v>46297</v>
      </c>
      <c r="V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TOTAL 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TOTAL %</t>
        </is>
      </c>
      <c r="Y4" s="5" t="inlineStr">
        <is>
          <t>NOTES</t>
        </is>
      </c>
    </row>
    <row r="5">
      <c r="A5" s="7" t="n">
        <v>1</v>
      </c>
      <c r="B5" s="8" t="inlineStr">
        <is>
          <t>Skyline (Eastside) @ OneSentosa</t>
        </is>
      </c>
      <c r="C5" s="9" t="n">
        <v>45889</v>
      </c>
      <c r="D5" s="10" t="n">
        <v>1623</v>
      </c>
      <c r="E5" s="7" t="inlineStr">
        <is>
          <t>31031-1</t>
        </is>
      </c>
      <c r="F5" s="8" t="inlineStr">
        <is>
          <t>PLAZA SENTOSA PROPERTIES SDN. BHD.</t>
        </is>
      </c>
      <c r="G5" s="10" t="n"/>
      <c r="H5" s="10" t="n">
        <v>1400</v>
      </c>
      <c r="I5" s="11">
        <f>H5/$D$5</f>
        <v/>
      </c>
      <c r="J5" s="10">
        <f>K5-H5</f>
        <v/>
      </c>
      <c r="K5" s="10" t="n">
        <v>1401</v>
      </c>
      <c r="L5" s="11">
        <f>K5/$D$5</f>
        <v/>
      </c>
      <c r="M5" s="10">
        <f>N5-K5</f>
        <v/>
      </c>
      <c r="N5" s="10" t="n">
        <v>1404</v>
      </c>
      <c r="O5" s="11">
        <f>N5/$D$5</f>
        <v/>
      </c>
      <c r="P5" s="10">
        <f>Q5-N5</f>
        <v/>
      </c>
      <c r="Q5" s="10" t="n">
        <v>1409</v>
      </c>
      <c r="R5" s="11">
        <f>Q5/$D$5</f>
        <v/>
      </c>
      <c r="S5" s="10">
        <f>T5-Q5</f>
        <v/>
      </c>
      <c r="T5" s="10" t="n">
        <v>1415</v>
      </c>
      <c r="U5" s="11">
        <f>T5/$D$5</f>
        <v/>
      </c>
      <c r="V5" s="12">
        <f>W5-T5</f>
        <v/>
      </c>
      <c r="W5" s="12" t="n">
        <v>1419</v>
      </c>
      <c r="X5" s="13">
        <f>W5/$D$5</f>
        <v/>
      </c>
      <c r="Y5" s="8" t="inlineStr">
        <is>
          <t>Latest sales - Block A: 734 units, Block B: 685 units</t>
        </is>
      </c>
    </row>
    <row r="6">
      <c r="A6" s="7" t="n">
        <v>2</v>
      </c>
      <c r="B6" s="8" t="inlineStr">
        <is>
          <t>Skyline Kuchai</t>
        </is>
      </c>
      <c r="C6" s="9" t="n">
        <v>44939</v>
      </c>
      <c r="D6" s="10" t="n">
        <v>1838</v>
      </c>
      <c r="E6" s="7" t="inlineStr">
        <is>
          <t>30331-1,30331-2</t>
        </is>
      </c>
      <c r="F6" s="8" t="inlineStr">
        <is>
          <t>L &amp; T REALTY SDN. BHD.</t>
        </is>
      </c>
      <c r="G6" s="10" t="n"/>
      <c r="H6" s="10" t="n">
        <v>1825</v>
      </c>
      <c r="I6" s="11">
        <f>H6/$D$6</f>
        <v/>
      </c>
      <c r="J6" s="10">
        <f>K6-H6</f>
        <v/>
      </c>
      <c r="K6" s="10" t="n">
        <v>1825</v>
      </c>
      <c r="L6" s="11">
        <f>K6/$D$6</f>
        <v/>
      </c>
      <c r="M6" s="10">
        <f>N6-K6</f>
        <v/>
      </c>
      <c r="N6" s="10" t="n">
        <v>1825</v>
      </c>
      <c r="O6" s="11">
        <f>N6/$D$6</f>
        <v/>
      </c>
      <c r="P6" s="10">
        <f>Q6-N6</f>
        <v/>
      </c>
      <c r="Q6" s="10" t="n">
        <v>1825</v>
      </c>
      <c r="R6" s="11">
        <f>Q6/$D$6</f>
        <v/>
      </c>
      <c r="S6" s="10">
        <f>T6-Q6</f>
        <v/>
      </c>
      <c r="T6" s="10" t="n">
        <v>1825</v>
      </c>
      <c r="U6" s="11">
        <f>T6/$D$6</f>
        <v/>
      </c>
      <c r="V6" s="12">
        <f>W6-T6</f>
        <v/>
      </c>
      <c r="W6" s="12" t="n">
        <v>1826</v>
      </c>
      <c r="X6" s="13">
        <f>W6/$D$6</f>
        <v/>
      </c>
      <c r="Y6" s="8" t="inlineStr">
        <is>
          <t>Latest sales - Block A: 938 units, Block B: 888 units</t>
        </is>
      </c>
    </row>
    <row r="7">
      <c r="A7" s="7" t="n">
        <v>3</v>
      </c>
      <c r="B7" s="8" t="inlineStr">
        <is>
          <t>KL Exchange (KLX)</t>
        </is>
      </c>
      <c r="C7" s="9" t="n"/>
      <c r="D7" s="10" t="n">
        <v>0</v>
      </c>
      <c r="E7" s="7" t="inlineStr"/>
      <c r="F7" s="8" t="inlineStr"/>
      <c r="G7" s="10" t="n"/>
      <c r="H7" s="10" t="n"/>
      <c r="I7" s="11" t="n"/>
      <c r="J7" s="10" t="n"/>
      <c r="K7" s="10" t="n"/>
      <c r="L7" s="11" t="n"/>
      <c r="M7" s="10" t="n"/>
      <c r="N7" s="10" t="n"/>
      <c r="O7" s="11" t="n"/>
      <c r="P7" s="10" t="n"/>
      <c r="Q7" s="10" t="n"/>
      <c r="R7" s="11" t="n"/>
      <c r="S7" s="10" t="n"/>
      <c r="T7" s="10" t="n"/>
      <c r="U7" s="11" t="n"/>
      <c r="V7" s="12" t="n"/>
      <c r="W7" s="12" t="n"/>
      <c r="X7" s="13" t="n"/>
      <c r="Y7" s="8" t="inlineStr">
        <is>
          <t>Not launched yet.</t>
        </is>
      </c>
    </row>
    <row r="8">
      <c r="A8" s="7" t="n">
        <v>4</v>
      </c>
      <c r="B8" s="8" t="inlineStr">
        <is>
          <t>Residence Hill</t>
        </is>
      </c>
      <c r="C8" s="9" t="n">
        <v>44394</v>
      </c>
      <c r="D8" s="10" t="n">
        <v>42</v>
      </c>
      <c r="E8" s="7" t="inlineStr">
        <is>
          <t>9158-9</t>
        </is>
      </c>
      <c r="F8" s="8" t="inlineStr"/>
      <c r="G8" s="10" t="n"/>
      <c r="H8" s="10" t="n">
        <v>42</v>
      </c>
      <c r="I8" s="11">
        <f>H8/$D$8</f>
        <v/>
      </c>
      <c r="J8" s="10">
        <f>K8-H8</f>
        <v/>
      </c>
      <c r="K8" s="10" t="n">
        <v>42</v>
      </c>
      <c r="L8" s="11">
        <f>K8/$D$8</f>
        <v/>
      </c>
      <c r="M8" s="10">
        <f>N8-K8</f>
        <v/>
      </c>
      <c r="N8" s="10" t="n">
        <v>42</v>
      </c>
      <c r="O8" s="11">
        <f>N8/$D$8</f>
        <v/>
      </c>
      <c r="P8" s="10">
        <f>Q8-N8</f>
        <v/>
      </c>
      <c r="Q8" s="10" t="n">
        <v>42</v>
      </c>
      <c r="R8" s="11">
        <f>Q8/$D$8</f>
        <v/>
      </c>
      <c r="S8" s="10">
        <f>T8-Q8</f>
        <v/>
      </c>
      <c r="T8" s="10" t="n">
        <v>42</v>
      </c>
      <c r="U8" s="11">
        <f>T8/$D$8</f>
        <v/>
      </c>
      <c r="V8" s="12">
        <f>W8-T8</f>
        <v/>
      </c>
      <c r="W8" s="12" t="n">
        <v>42</v>
      </c>
      <c r="X8" s="13">
        <f>W8/$D$8</f>
        <v/>
      </c>
      <c r="Y8" s="8" t="inlineStr"/>
    </row>
    <row r="9">
      <c r="A9" s="7" t="n">
        <v>5</v>
      </c>
      <c r="B9" s="8" t="inlineStr">
        <is>
          <t>Skyline Embassy</t>
        </is>
      </c>
      <c r="C9" s="9" t="n">
        <v>43722</v>
      </c>
      <c r="D9" s="10" t="n">
        <v>1296</v>
      </c>
      <c r="E9" s="7" t="inlineStr">
        <is>
          <t>19760-1,19760-2</t>
        </is>
      </c>
      <c r="F9" s="8" t="inlineStr"/>
      <c r="G9" s="10" t="n"/>
      <c r="H9" s="10" t="n">
        <v>1286</v>
      </c>
      <c r="I9" s="11">
        <f>H9/$D$9</f>
        <v/>
      </c>
      <c r="J9" s="10">
        <f>K9-H9</f>
        <v/>
      </c>
      <c r="K9" s="10" t="n">
        <v>1286</v>
      </c>
      <c r="L9" s="11">
        <f>K9/$D$9</f>
        <v/>
      </c>
      <c r="M9" s="10">
        <f>N9-K9</f>
        <v/>
      </c>
      <c r="N9" s="10" t="n">
        <v>1286</v>
      </c>
      <c r="O9" s="11">
        <f>N9/$D$9</f>
        <v/>
      </c>
      <c r="P9" s="10">
        <f>Q9-N9</f>
        <v/>
      </c>
      <c r="Q9" s="10" t="n">
        <v>1286</v>
      </c>
      <c r="R9" s="11">
        <f>Q9/$D$9</f>
        <v/>
      </c>
      <c r="S9" s="10">
        <f>T9-Q9</f>
        <v/>
      </c>
      <c r="T9" s="10" t="n">
        <v>1286</v>
      </c>
      <c r="U9" s="11">
        <f>T9/$D$9</f>
        <v/>
      </c>
      <c r="V9" s="12">
        <f>W9-T9</f>
        <v/>
      </c>
      <c r="W9" s="12" t="n">
        <v>1286</v>
      </c>
      <c r="X9" s="13">
        <f>W9/$D$9</f>
        <v/>
      </c>
      <c r="Y9" s="8" t="inlineStr">
        <is>
          <t>Latest sales - Block A: 431 units, Block B: 424 units, Block C: 431 units</t>
        </is>
      </c>
    </row>
    <row r="10">
      <c r="A10" s="7" t="n">
        <v>6</v>
      </c>
      <c r="B10" s="8" t="inlineStr">
        <is>
          <t>Hanya Wahyu @ Taman Wahyu</t>
        </is>
      </c>
      <c r="C10" s="9" t="n"/>
      <c r="D10" s="10" t="n">
        <v>1816</v>
      </c>
      <c r="E10" s="7" t="inlineStr"/>
      <c r="F10" s="8" t="inlineStr"/>
      <c r="G10" s="10" t="n"/>
      <c r="H10" s="10" t="n"/>
      <c r="I10" s="11" t="n"/>
      <c r="J10" s="10" t="n"/>
      <c r="K10" s="10" t="n"/>
      <c r="L10" s="11" t="n"/>
      <c r="M10" s="10" t="n"/>
      <c r="N10" s="10" t="n"/>
      <c r="O10" s="11" t="n"/>
      <c r="P10" s="10" t="n"/>
      <c r="Q10" s="10" t="n"/>
      <c r="R10" s="11" t="n"/>
      <c r="S10" s="10" t="n"/>
      <c r="T10" s="10" t="n"/>
      <c r="U10" s="11" t="n"/>
      <c r="V10" s="12" t="n"/>
      <c r="W10" s="12" t="n"/>
      <c r="X10" s="13" t="n"/>
      <c r="Y10" s="8" t="inlineStr">
        <is>
          <t>Not launched yet.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V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6" customWidth="1" min="22" max="22"/>
  </cols>
  <sheetData>
    <row r="2">
      <c r="A2" s="1" t="inlineStr">
        <is>
          <t>Report as at 08/10/2026</t>
        </is>
      </c>
    </row>
    <row r="3">
      <c r="A3" s="2" t="inlineStr">
        <is>
          <t>WEEKLY TEDUH SALES REPORT (UEM)</t>
        </is>
      </c>
      <c r="G3" s="3" t="n">
        <v>46276</v>
      </c>
      <c r="J3" s="3" t="n">
        <v>46283</v>
      </c>
      <c r="M3" s="3" t="n">
        <v>46290</v>
      </c>
      <c r="P3" s="3" t="n">
        <v>46297</v>
      </c>
      <c r="S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TOTAL 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TOTAL 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TOTAL 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TOTAL 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TOTAL %</t>
        </is>
      </c>
      <c r="V4" s="5" t="inlineStr">
        <is>
          <t>NOTES</t>
        </is>
      </c>
    </row>
    <row r="5">
      <c r="A5" s="7" t="n">
        <v>1</v>
      </c>
      <c r="B5" s="8" t="inlineStr">
        <is>
          <t>The Connaught One</t>
        </is>
      </c>
      <c r="C5" s="9" t="n">
        <v>44999</v>
      </c>
      <c r="D5" s="10" t="n">
        <v>1334</v>
      </c>
      <c r="E5" s="7" t="inlineStr">
        <is>
          <t>10555-15</t>
        </is>
      </c>
      <c r="F5" s="8" t="inlineStr">
        <is>
          <t>UEM LAND BERHAD</t>
        </is>
      </c>
      <c r="G5" s="10" t="n"/>
      <c r="H5" s="10" t="n">
        <v>1215</v>
      </c>
      <c r="I5" s="11">
        <f>H5/$D$5</f>
        <v/>
      </c>
      <c r="J5" s="10">
        <f>K5-H5</f>
        <v/>
      </c>
      <c r="K5" s="10" t="n">
        <v>1223</v>
      </c>
      <c r="L5" s="11">
        <f>K5/$D$5</f>
        <v/>
      </c>
      <c r="M5" s="10">
        <f>N5-K5</f>
        <v/>
      </c>
      <c r="N5" s="10" t="n">
        <v>1225</v>
      </c>
      <c r="O5" s="11">
        <f>N5/$D$5</f>
        <v/>
      </c>
      <c r="P5" s="10">
        <f>Q5-N5</f>
        <v/>
      </c>
      <c r="Q5" s="10" t="n">
        <v>1226</v>
      </c>
      <c r="R5" s="11">
        <f>Q5/$D$5</f>
        <v/>
      </c>
      <c r="S5" s="12">
        <f>T5-Q5</f>
        <v/>
      </c>
      <c r="T5" s="12" t="n">
        <v>1230</v>
      </c>
      <c r="U5" s="13">
        <f>T5/$D$5</f>
        <v/>
      </c>
      <c r="V5" s="8" t="inlineStr">
        <is>
          <t>Latest sales - Block A: 636 units, Block B: 594 units</t>
        </is>
      </c>
    </row>
    <row r="6">
      <c r="A6" s="7" t="n">
        <v>2</v>
      </c>
      <c r="B6" s="8" t="inlineStr">
        <is>
          <t>Allegro</t>
        </is>
      </c>
      <c r="C6" s="9" t="n">
        <v>45743</v>
      </c>
      <c r="D6" s="10" t="n">
        <v>68</v>
      </c>
      <c r="E6" s="7" t="inlineStr">
        <is>
          <t>11186-18</t>
        </is>
      </c>
      <c r="F6" s="8" t="inlineStr">
        <is>
          <t>SYMPHONY HILLS SDN. BHD.</t>
        </is>
      </c>
      <c r="G6" s="10" t="n"/>
      <c r="H6" s="10" t="n">
        <v>49</v>
      </c>
      <c r="I6" s="11">
        <f>H6/$D$6</f>
        <v/>
      </c>
      <c r="J6" s="10">
        <f>K6-H6</f>
        <v/>
      </c>
      <c r="K6" s="10" t="n">
        <v>51</v>
      </c>
      <c r="L6" s="11">
        <f>K6/$D$6</f>
        <v/>
      </c>
      <c r="M6" s="10">
        <f>N6-K6</f>
        <v/>
      </c>
      <c r="N6" s="10" t="n">
        <v>51</v>
      </c>
      <c r="O6" s="11">
        <f>N6/$D$6</f>
        <v/>
      </c>
      <c r="P6" s="10">
        <f>Q6-N6</f>
        <v/>
      </c>
      <c r="Q6" s="10" t="n">
        <v>52</v>
      </c>
      <c r="R6" s="11">
        <f>Q6/$D$6</f>
        <v/>
      </c>
      <c r="S6" s="12">
        <f>T6-Q6</f>
        <v/>
      </c>
      <c r="T6" s="12" t="n">
        <v>52</v>
      </c>
      <c r="U6" s="13">
        <f>T6/$D$6</f>
        <v/>
      </c>
      <c r="V6" s="8" t="inlineStr"/>
    </row>
    <row r="7">
      <c r="A7" s="7" t="n">
        <v>3</v>
      </c>
      <c r="B7" s="8" t="inlineStr">
        <is>
          <t>Intrika 3</t>
        </is>
      </c>
      <c r="C7" s="9" t="n">
        <v>45866</v>
      </c>
      <c r="D7" s="10" t="n">
        <v>105</v>
      </c>
      <c r="E7" s="7" t="inlineStr">
        <is>
          <t>11186-19</t>
        </is>
      </c>
      <c r="F7" s="8" t="inlineStr">
        <is>
          <t>SYMPHONY HILLS SDN. BHD.</t>
        </is>
      </c>
      <c r="G7" s="10" t="n"/>
      <c r="H7" s="10" t="n">
        <v>15</v>
      </c>
      <c r="I7" s="11">
        <f>H7/$D$7</f>
        <v/>
      </c>
      <c r="J7" s="10">
        <f>K7-H7</f>
        <v/>
      </c>
      <c r="K7" s="10" t="n">
        <v>15</v>
      </c>
      <c r="L7" s="11">
        <f>K7/$D$7</f>
        <v/>
      </c>
      <c r="M7" s="10">
        <f>N7-K7</f>
        <v/>
      </c>
      <c r="N7" s="10" t="n">
        <v>15</v>
      </c>
      <c r="O7" s="11">
        <f>N7/$D$7</f>
        <v/>
      </c>
      <c r="P7" s="10">
        <f>Q7-N7</f>
        <v/>
      </c>
      <c r="Q7" s="10" t="n">
        <v>17</v>
      </c>
      <c r="R7" s="11">
        <f>Q7/$D$7</f>
        <v/>
      </c>
      <c r="S7" s="12">
        <f>T7-Q7</f>
        <v/>
      </c>
      <c r="T7" s="12" t="n">
        <v>17</v>
      </c>
      <c r="U7" s="13">
        <f>T7/$D$7</f>
        <v/>
      </c>
      <c r="V7" s="8" t="inlineStr"/>
    </row>
    <row r="8">
      <c r="A8" s="7" t="n">
        <v>4</v>
      </c>
      <c r="B8" s="8" t="inlineStr">
        <is>
          <t>Intrika 4</t>
        </is>
      </c>
      <c r="C8" s="9" t="n">
        <v>46191</v>
      </c>
      <c r="D8" s="10" t="n">
        <v>119</v>
      </c>
      <c r="E8" s="7" t="inlineStr">
        <is>
          <t>11186-20</t>
        </is>
      </c>
      <c r="F8" s="8" t="inlineStr">
        <is>
          <t>SYMPHONY HILLS SDN. BHD.</t>
        </is>
      </c>
      <c r="G8" s="10" t="n"/>
      <c r="H8" s="10" t="n">
        <v>2</v>
      </c>
      <c r="I8" s="11">
        <f>H8/$D$8</f>
        <v/>
      </c>
      <c r="J8" s="10">
        <f>K8-H8</f>
        <v/>
      </c>
      <c r="K8" s="10" t="n">
        <v>2</v>
      </c>
      <c r="L8" s="11">
        <f>K8/$D$8</f>
        <v/>
      </c>
      <c r="M8" s="10">
        <f>N8-K8</f>
        <v/>
      </c>
      <c r="N8" s="10" t="n">
        <v>2</v>
      </c>
      <c r="O8" s="11">
        <f>N8/$D$8</f>
        <v/>
      </c>
      <c r="P8" s="10">
        <f>Q8-N8</f>
        <v/>
      </c>
      <c r="Q8" s="10" t="n">
        <v>2</v>
      </c>
      <c r="R8" s="11">
        <f>Q8/$D$8</f>
        <v/>
      </c>
      <c r="S8" s="12">
        <f>T8-Q8</f>
        <v/>
      </c>
      <c r="T8" s="12" t="n">
        <v>2</v>
      </c>
      <c r="U8" s="13">
        <f>T8/$D$8</f>
        <v/>
      </c>
      <c r="V8" s="8" t="inlineStr"/>
    </row>
    <row r="9">
      <c r="A9" s="7" t="n">
        <v>5</v>
      </c>
      <c r="B9" s="8" t="inlineStr">
        <is>
          <t>Estuari family [Gardens/Greens/ParkHomes]</t>
        </is>
      </c>
      <c r="C9" s="9" t="n">
        <v>46059</v>
      </c>
      <c r="D9" s="10" t="n">
        <v>56</v>
      </c>
      <c r="E9" s="7" t="inlineStr">
        <is>
          <t>14032-10</t>
        </is>
      </c>
      <c r="F9" s="8" t="inlineStr">
        <is>
          <t>BANDAR NUSAJAYA DEVELOPMENT SDN. BHD.</t>
        </is>
      </c>
      <c r="G9" s="10" t="n"/>
      <c r="H9" s="10" t="n">
        <v>8</v>
      </c>
      <c r="I9" s="11">
        <f>H9/$D$9</f>
        <v/>
      </c>
      <c r="J9" s="10">
        <f>K9-H9</f>
        <v/>
      </c>
      <c r="K9" s="10" t="n">
        <v>8</v>
      </c>
      <c r="L9" s="11">
        <f>K9/$D$9</f>
        <v/>
      </c>
      <c r="M9" s="10">
        <f>N9-K9</f>
        <v/>
      </c>
      <c r="N9" s="10" t="n">
        <v>10</v>
      </c>
      <c r="O9" s="11">
        <f>N9/$D$9</f>
        <v/>
      </c>
      <c r="P9" s="10">
        <f>Q9-N9</f>
        <v/>
      </c>
      <c r="Q9" s="10" t="n">
        <v>12</v>
      </c>
      <c r="R9" s="11">
        <f>Q9/$D$9</f>
        <v/>
      </c>
      <c r="S9" s="12">
        <f>T9-Q9</f>
        <v/>
      </c>
      <c r="T9" s="12" t="n">
        <v>13</v>
      </c>
      <c r="U9" s="13">
        <f>T9/$D$9</f>
        <v/>
      </c>
      <c r="V9" s="8" t="inlineStr"/>
    </row>
    <row r="10">
      <c r="A10" s="7" t="n">
        <v>6</v>
      </c>
      <c r="B10" s="8" t="inlineStr">
        <is>
          <t>Estuari family [Gardens/Greens/ParkHomes]</t>
        </is>
      </c>
      <c r="C10" s="9" t="n">
        <v>46150</v>
      </c>
      <c r="D10" s="10" t="n">
        <v>167</v>
      </c>
      <c r="E10" s="7" t="inlineStr">
        <is>
          <t>14032-11</t>
        </is>
      </c>
      <c r="F10" s="8" t="inlineStr">
        <is>
          <t>BANDAR NUSAJAYA DEVELOPMENT SDN. BHD.</t>
        </is>
      </c>
      <c r="G10" s="10" t="n"/>
      <c r="H10" s="10" t="n">
        <v>21</v>
      </c>
      <c r="I10" s="11">
        <f>H10/$D$10</f>
        <v/>
      </c>
      <c r="J10" s="10">
        <f>K10-H10</f>
        <v/>
      </c>
      <c r="K10" s="10" t="n">
        <v>29</v>
      </c>
      <c r="L10" s="11">
        <f>K10/$D$10</f>
        <v/>
      </c>
      <c r="M10" s="10">
        <f>N10-K10</f>
        <v/>
      </c>
      <c r="N10" s="10" t="n">
        <v>32</v>
      </c>
      <c r="O10" s="11">
        <f>N10/$D$10</f>
        <v/>
      </c>
      <c r="P10" s="10">
        <f>Q10-N10</f>
        <v/>
      </c>
      <c r="Q10" s="10" t="n">
        <v>45</v>
      </c>
      <c r="R10" s="11">
        <f>Q10/$D$10</f>
        <v/>
      </c>
      <c r="S10" s="12">
        <f>T10-Q10</f>
        <v/>
      </c>
      <c r="T10" s="12" t="n">
        <v>52</v>
      </c>
      <c r="U10" s="13">
        <f>T10/$D$10</f>
        <v/>
      </c>
      <c r="V10" s="8" t="inlineStr"/>
    </row>
    <row r="11">
      <c r="A11" s="7" t="n">
        <v>7</v>
      </c>
      <c r="B11" s="8" t="inlineStr">
        <is>
          <t>Nadi Nusantara 2</t>
        </is>
      </c>
      <c r="C11" s="9" t="n">
        <v>45432</v>
      </c>
      <c r="D11" s="10" t="n">
        <v>130</v>
      </c>
      <c r="E11" s="7" t="inlineStr">
        <is>
          <t>14032-7</t>
        </is>
      </c>
      <c r="F11" s="8" t="inlineStr">
        <is>
          <t>BANDAR NUSAJAYA DEVELOPMENT SDN. BHD.</t>
        </is>
      </c>
      <c r="G11" s="10" t="n"/>
      <c r="H11" s="10" t="n">
        <v>130</v>
      </c>
      <c r="I11" s="11">
        <f>H11/$D$11</f>
        <v/>
      </c>
      <c r="J11" s="10">
        <f>K11-H11</f>
        <v/>
      </c>
      <c r="K11" s="10" t="n">
        <v>130</v>
      </c>
      <c r="L11" s="11">
        <f>K11/$D$11</f>
        <v/>
      </c>
      <c r="M11" s="10">
        <f>N11-K11</f>
        <v/>
      </c>
      <c r="N11" s="10" t="n">
        <v>130</v>
      </c>
      <c r="O11" s="11">
        <f>N11/$D$11</f>
        <v/>
      </c>
      <c r="P11" s="10">
        <f>Q11-N11</f>
        <v/>
      </c>
      <c r="Q11" s="10" t="n">
        <v>130</v>
      </c>
      <c r="R11" s="11">
        <f>Q11/$D$11</f>
        <v/>
      </c>
      <c r="S11" s="12">
        <f>T11-Q11</f>
        <v/>
      </c>
      <c r="T11" s="12" t="n">
        <v>130</v>
      </c>
      <c r="U11" s="13">
        <f>T11/$D$11</f>
        <v/>
      </c>
      <c r="V11" s="8" t="inlineStr">
        <is>
          <t>Latest sales - Block 1: 130 units</t>
        </is>
      </c>
    </row>
    <row r="12">
      <c r="A12" s="7" t="n">
        <v>8</v>
      </c>
      <c r="B12" s="8" t="inlineStr">
        <is>
          <t>Estuari family [Gardens/Greens/ParkHomes]</t>
        </is>
      </c>
      <c r="C12" s="9" t="n">
        <v>45895</v>
      </c>
      <c r="D12" s="10" t="n">
        <v>46</v>
      </c>
      <c r="E12" s="7" t="inlineStr">
        <is>
          <t>14032-8</t>
        </is>
      </c>
      <c r="F12" s="8" t="inlineStr">
        <is>
          <t>BANDAR NUSAJAYA DEVELOPMENT SDN. BHD.</t>
        </is>
      </c>
      <c r="G12" s="10" t="n"/>
      <c r="H12" s="10" t="n">
        <v>23</v>
      </c>
      <c r="I12" s="11">
        <f>H12/$D$12</f>
        <v/>
      </c>
      <c r="J12" s="10">
        <f>K12-H12</f>
        <v/>
      </c>
      <c r="K12" s="10" t="n">
        <v>24</v>
      </c>
      <c r="L12" s="11">
        <f>K12/$D$12</f>
        <v/>
      </c>
      <c r="M12" s="10">
        <f>N12-K12</f>
        <v/>
      </c>
      <c r="N12" s="10" t="n">
        <v>24</v>
      </c>
      <c r="O12" s="11">
        <f>N12/$D$12</f>
        <v/>
      </c>
      <c r="P12" s="10">
        <f>Q12-N12</f>
        <v/>
      </c>
      <c r="Q12" s="10" t="n">
        <v>24</v>
      </c>
      <c r="R12" s="11">
        <f>Q12/$D$12</f>
        <v/>
      </c>
      <c r="S12" s="12">
        <f>T12-Q12</f>
        <v/>
      </c>
      <c r="T12" s="12" t="n">
        <v>24</v>
      </c>
      <c r="U12" s="13">
        <f>T12/$D$12</f>
        <v/>
      </c>
      <c r="V12" s="8" t="inlineStr"/>
    </row>
    <row r="13">
      <c r="A13" s="7" t="n">
        <v>9</v>
      </c>
      <c r="B13" s="8" t="inlineStr">
        <is>
          <t>Estuari family [Gardens/Greens/ParkHomes]</t>
        </is>
      </c>
      <c r="C13" s="9" t="n">
        <v>45926</v>
      </c>
      <c r="D13" s="10" t="n">
        <v>144</v>
      </c>
      <c r="E13" s="7" t="inlineStr">
        <is>
          <t>14032-9</t>
        </is>
      </c>
      <c r="F13" s="8" t="inlineStr">
        <is>
          <t>BANDAR NUSAJAYA DEVELOPMENT SDN. BHD.</t>
        </is>
      </c>
      <c r="G13" s="10" t="n"/>
      <c r="H13" s="10" t="n">
        <v>81</v>
      </c>
      <c r="I13" s="11">
        <f>H13/$D$13</f>
        <v/>
      </c>
      <c r="J13" s="10">
        <f>K13-H13</f>
        <v/>
      </c>
      <c r="K13" s="10" t="n">
        <v>84</v>
      </c>
      <c r="L13" s="11">
        <f>K13/$D$13</f>
        <v/>
      </c>
      <c r="M13" s="10">
        <f>N13-K13</f>
        <v/>
      </c>
      <c r="N13" s="10" t="n">
        <v>85</v>
      </c>
      <c r="O13" s="11">
        <f>N13/$D$13</f>
        <v/>
      </c>
      <c r="P13" s="10">
        <f>Q13-N13</f>
        <v/>
      </c>
      <c r="Q13" s="10" t="n">
        <v>86</v>
      </c>
      <c r="R13" s="11">
        <f>Q13/$D$13</f>
        <v/>
      </c>
      <c r="S13" s="12">
        <f>T13-Q13</f>
        <v/>
      </c>
      <c r="T13" s="12" t="n">
        <v>87</v>
      </c>
      <c r="U13" s="13">
        <f>T13/$D$13</f>
        <v/>
      </c>
      <c r="V13" s="8" t="inlineStr"/>
    </row>
    <row r="14">
      <c r="A14" s="7" t="n">
        <v>10</v>
      </c>
      <c r="B14" s="8" t="inlineStr">
        <is>
          <t>Aspira Lakehomes</t>
        </is>
      </c>
      <c r="C14" s="9" t="n">
        <v>45538</v>
      </c>
      <c r="D14" s="10" t="n">
        <v>125</v>
      </c>
      <c r="E14" s="7" t="inlineStr">
        <is>
          <t>14228-12</t>
        </is>
      </c>
      <c r="F14" s="8" t="inlineStr">
        <is>
          <t>NUSAJAYA RISE SDN. BHD.</t>
        </is>
      </c>
      <c r="G14" s="10" t="n"/>
      <c r="H14" s="10" t="n">
        <v>121</v>
      </c>
      <c r="I14" s="11">
        <f>H14/$D$14</f>
        <v/>
      </c>
      <c r="J14" s="10">
        <f>K14-H14</f>
        <v/>
      </c>
      <c r="K14" s="10" t="n">
        <v>121</v>
      </c>
      <c r="L14" s="11">
        <f>K14/$D$14</f>
        <v/>
      </c>
      <c r="M14" s="10">
        <f>N14-K14</f>
        <v/>
      </c>
      <c r="N14" s="10" t="n">
        <v>121</v>
      </c>
      <c r="O14" s="11">
        <f>N14/$D$14</f>
        <v/>
      </c>
      <c r="P14" s="10">
        <f>Q14-N14</f>
        <v/>
      </c>
      <c r="Q14" s="10" t="n">
        <v>121</v>
      </c>
      <c r="R14" s="11">
        <f>Q14/$D$14</f>
        <v/>
      </c>
      <c r="S14" s="12">
        <f>T14-Q14</f>
        <v/>
      </c>
      <c r="T14" s="12" t="n">
        <v>121</v>
      </c>
      <c r="U14" s="13">
        <f>T14/$D$14</f>
        <v/>
      </c>
      <c r="V14" s="8" t="inlineStr"/>
    </row>
    <row r="15">
      <c r="A15" s="7" t="n">
        <v>11</v>
      </c>
      <c r="B15" s="8" t="inlineStr">
        <is>
          <t>Aspira Hills</t>
        </is>
      </c>
      <c r="C15" s="9" t="n">
        <v>45832</v>
      </c>
      <c r="D15" s="10" t="n">
        <v>132</v>
      </c>
      <c r="E15" s="7" t="inlineStr">
        <is>
          <t>14228-13</t>
        </is>
      </c>
      <c r="F15" s="8" t="inlineStr">
        <is>
          <t>NUSAJAYA RISE SDN. BHD.</t>
        </is>
      </c>
      <c r="G15" s="10" t="n"/>
      <c r="H15" s="10" t="n">
        <v>110</v>
      </c>
      <c r="I15" s="11">
        <f>H15/$D$15</f>
        <v/>
      </c>
      <c r="J15" s="10">
        <f>K15-H15</f>
        <v/>
      </c>
      <c r="K15" s="10" t="n">
        <v>111</v>
      </c>
      <c r="L15" s="11">
        <f>K15/$D$15</f>
        <v/>
      </c>
      <c r="M15" s="10">
        <f>N15-K15</f>
        <v/>
      </c>
      <c r="N15" s="10" t="n">
        <v>113</v>
      </c>
      <c r="O15" s="11">
        <f>N15/$D$15</f>
        <v/>
      </c>
      <c r="P15" s="10">
        <f>Q15-N15</f>
        <v/>
      </c>
      <c r="Q15" s="10" t="n">
        <v>114</v>
      </c>
      <c r="R15" s="11">
        <f>Q15/$D$15</f>
        <v/>
      </c>
      <c r="S15" s="12">
        <f>T15-Q15</f>
        <v/>
      </c>
      <c r="T15" s="12" t="n">
        <v>114</v>
      </c>
      <c r="U15" s="13">
        <f>T15/$D$15</f>
        <v/>
      </c>
      <c r="V15" s="8" t="inlineStr"/>
    </row>
    <row r="16">
      <c r="A16" s="7" t="n">
        <v>12</v>
      </c>
      <c r="B16" s="8" t="inlineStr">
        <is>
          <t>Aspira Hills</t>
        </is>
      </c>
      <c r="C16" s="9" t="n">
        <v>45832</v>
      </c>
      <c r="D16" s="10" t="n">
        <v>192</v>
      </c>
      <c r="E16" s="7" t="inlineStr">
        <is>
          <t>14228-14</t>
        </is>
      </c>
      <c r="F16" s="8" t="inlineStr">
        <is>
          <t>NUSAJAYA RISE SDN. BHD.</t>
        </is>
      </c>
      <c r="G16" s="10" t="n"/>
      <c r="H16" s="10" t="n">
        <v>171</v>
      </c>
      <c r="I16" s="11">
        <f>H16/$D$16</f>
        <v/>
      </c>
      <c r="J16" s="10">
        <f>K16-H16</f>
        <v/>
      </c>
      <c r="K16" s="10" t="n">
        <v>171</v>
      </c>
      <c r="L16" s="11">
        <f>K16/$D$16</f>
        <v/>
      </c>
      <c r="M16" s="10">
        <f>N16-K16</f>
        <v/>
      </c>
      <c r="N16" s="10" t="n">
        <v>171</v>
      </c>
      <c r="O16" s="11">
        <f>N16/$D$16</f>
        <v/>
      </c>
      <c r="P16" s="10">
        <f>Q16-N16</f>
        <v/>
      </c>
      <c r="Q16" s="10" t="n">
        <v>171</v>
      </c>
      <c r="R16" s="11">
        <f>Q16/$D$16</f>
        <v/>
      </c>
      <c r="S16" s="12">
        <f>T16-Q16</f>
        <v/>
      </c>
      <c r="T16" s="12" t="n">
        <v>172</v>
      </c>
      <c r="U16" s="13">
        <f>T16/$D$16</f>
        <v/>
      </c>
      <c r="V16" s="8" t="inlineStr"/>
    </row>
    <row r="17">
      <c r="A17" s="7" t="n">
        <v>13</v>
      </c>
      <c r="B17" s="8" t="inlineStr">
        <is>
          <t>Aspira Hills</t>
        </is>
      </c>
      <c r="C17" s="9" t="n">
        <v>45958</v>
      </c>
      <c r="D17" s="10" t="n">
        <v>77</v>
      </c>
      <c r="E17" s="7" t="inlineStr">
        <is>
          <t>14228-15</t>
        </is>
      </c>
      <c r="F17" s="8" t="inlineStr">
        <is>
          <t>NUSAJAYA RISE SDN. BHD.</t>
        </is>
      </c>
      <c r="G17" s="10" t="n"/>
      <c r="H17" s="10" t="n">
        <v>55</v>
      </c>
      <c r="I17" s="11">
        <f>H17/$D$17</f>
        <v/>
      </c>
      <c r="J17" s="10">
        <f>K17-H17</f>
        <v/>
      </c>
      <c r="K17" s="10" t="n">
        <v>55</v>
      </c>
      <c r="L17" s="11">
        <f>K17/$D$17</f>
        <v/>
      </c>
      <c r="M17" s="10">
        <f>N17-K17</f>
        <v/>
      </c>
      <c r="N17" s="10" t="n">
        <v>55</v>
      </c>
      <c r="O17" s="11">
        <f>N17/$D$17</f>
        <v/>
      </c>
      <c r="P17" s="10">
        <f>Q17-N17</f>
        <v/>
      </c>
      <c r="Q17" s="10" t="n">
        <v>55</v>
      </c>
      <c r="R17" s="11">
        <f>Q17/$D$17</f>
        <v/>
      </c>
      <c r="S17" s="12">
        <f>T17-Q17</f>
        <v/>
      </c>
      <c r="T17" s="12" t="n">
        <v>55</v>
      </c>
      <c r="U17" s="13">
        <f>T17/$D$17</f>
        <v/>
      </c>
      <c r="V17" s="8" t="inlineStr"/>
    </row>
    <row r="18">
      <c r="A18" s="7" t="n">
        <v>14</v>
      </c>
      <c r="B18" s="8" t="inlineStr">
        <is>
          <t>Aspira Hills</t>
        </is>
      </c>
      <c r="C18" s="9" t="n">
        <v>45958</v>
      </c>
      <c r="D18" s="10" t="n">
        <v>47</v>
      </c>
      <c r="E18" s="7" t="inlineStr">
        <is>
          <t>14228-16</t>
        </is>
      </c>
      <c r="F18" s="8" t="inlineStr">
        <is>
          <t>NUSAJAYA RISE SDN. BHD.</t>
        </is>
      </c>
      <c r="G18" s="10" t="n"/>
      <c r="H18" s="10" t="n">
        <v>34</v>
      </c>
      <c r="I18" s="11">
        <f>H18/$D$18</f>
        <v/>
      </c>
      <c r="J18" s="10">
        <f>K18-H18</f>
        <v/>
      </c>
      <c r="K18" s="10" t="n">
        <v>35</v>
      </c>
      <c r="L18" s="11">
        <f>K18/$D$18</f>
        <v/>
      </c>
      <c r="M18" s="10">
        <f>N18-K18</f>
        <v/>
      </c>
      <c r="N18" s="10" t="n">
        <v>35</v>
      </c>
      <c r="O18" s="11">
        <f>N18/$D$18</f>
        <v/>
      </c>
      <c r="P18" s="10">
        <f>Q18-N18</f>
        <v/>
      </c>
      <c r="Q18" s="10" t="n">
        <v>35</v>
      </c>
      <c r="R18" s="11">
        <f>Q18/$D$18</f>
        <v/>
      </c>
      <c r="S18" s="12">
        <f>T18-Q18</f>
        <v/>
      </c>
      <c r="T18" s="12" t="n">
        <v>35</v>
      </c>
      <c r="U18" s="13">
        <f>T18/$D$18</f>
        <v/>
      </c>
      <c r="V18" s="8" t="inlineStr"/>
    </row>
    <row r="19">
      <c r="A19" s="7" t="n">
        <v>15</v>
      </c>
      <c r="B19" s="8" t="inlineStr">
        <is>
          <t>Aspira Lakehomes</t>
        </is>
      </c>
      <c r="C19" s="9" t="n">
        <v>45425</v>
      </c>
      <c r="D19" s="10" t="n">
        <v>63</v>
      </c>
      <c r="E19" s="7" t="inlineStr">
        <is>
          <t>14228-7</t>
        </is>
      </c>
      <c r="F19" s="8" t="inlineStr">
        <is>
          <t>NUSAJAYA RISE SDN. BHD.</t>
        </is>
      </c>
      <c r="G19" s="10" t="n"/>
      <c r="H19" s="10" t="n">
        <v>61</v>
      </c>
      <c r="I19" s="11">
        <f>H19/$D$19</f>
        <v/>
      </c>
      <c r="J19" s="10">
        <f>K19-H19</f>
        <v/>
      </c>
      <c r="K19" s="10" t="n">
        <v>61</v>
      </c>
      <c r="L19" s="11">
        <f>K19/$D$19</f>
        <v/>
      </c>
      <c r="M19" s="10">
        <f>N19-K19</f>
        <v/>
      </c>
      <c r="N19" s="10" t="n">
        <v>61</v>
      </c>
      <c r="O19" s="11">
        <f>N19/$D$19</f>
        <v/>
      </c>
      <c r="P19" s="10">
        <f>Q19-N19</f>
        <v/>
      </c>
      <c r="Q19" s="10" t="n">
        <v>61</v>
      </c>
      <c r="R19" s="11">
        <f>Q19/$D$19</f>
        <v/>
      </c>
      <c r="S19" s="12">
        <f>T19-Q19</f>
        <v/>
      </c>
      <c r="T19" s="12" t="n">
        <v>61</v>
      </c>
      <c r="U19" s="13">
        <f>T19/$D$19</f>
        <v/>
      </c>
      <c r="V19" s="8" t="inlineStr"/>
    </row>
    <row r="20">
      <c r="A20" s="7" t="n">
        <v>16</v>
      </c>
      <c r="B20" s="8" t="inlineStr">
        <is>
          <t>Aspira Lakehomes</t>
        </is>
      </c>
      <c r="C20" s="9" t="n">
        <v>45432</v>
      </c>
      <c r="D20" s="10" t="n">
        <v>65</v>
      </c>
      <c r="E20" s="7" t="inlineStr">
        <is>
          <t>14228-8</t>
        </is>
      </c>
      <c r="F20" s="8" t="inlineStr">
        <is>
          <t>NUSAJAYA RISE SDN. BHD.</t>
        </is>
      </c>
      <c r="G20" s="10" t="n"/>
      <c r="H20" s="10" t="n">
        <v>62</v>
      </c>
      <c r="I20" s="11">
        <f>H20/$D$20</f>
        <v/>
      </c>
      <c r="J20" s="10">
        <f>K20-H20</f>
        <v/>
      </c>
      <c r="K20" s="10" t="n">
        <v>62</v>
      </c>
      <c r="L20" s="11">
        <f>K20/$D$20</f>
        <v/>
      </c>
      <c r="M20" s="10">
        <f>N20-K20</f>
        <v/>
      </c>
      <c r="N20" s="10" t="n">
        <v>62</v>
      </c>
      <c r="O20" s="11">
        <f>N20/$D$20</f>
        <v/>
      </c>
      <c r="P20" s="10">
        <f>Q20-N20</f>
        <v/>
      </c>
      <c r="Q20" s="10" t="n">
        <v>62</v>
      </c>
      <c r="R20" s="11">
        <f>Q20/$D$20</f>
        <v/>
      </c>
      <c r="S20" s="12">
        <f>T20-Q20</f>
        <v/>
      </c>
      <c r="T20" s="12" t="n">
        <v>62</v>
      </c>
      <c r="U20" s="13">
        <f>T20/$D$20</f>
        <v/>
      </c>
      <c r="V20" s="8" t="inlineStr"/>
    </row>
    <row r="21">
      <c r="A21" s="7" t="n">
        <v>17</v>
      </c>
      <c r="B21" s="8" t="inlineStr">
        <is>
          <t>The Minh</t>
        </is>
      </c>
      <c r="C21" s="9" t="n">
        <v>44847</v>
      </c>
      <c r="D21" s="10" t="n">
        <v>496</v>
      </c>
      <c r="E21" s="7" t="inlineStr">
        <is>
          <t>30141-1</t>
        </is>
      </c>
      <c r="F21" s="8" t="inlineStr">
        <is>
          <t>LASER TOWER SDN. BHD.</t>
        </is>
      </c>
      <c r="G21" s="10" t="n"/>
      <c r="H21" s="10" t="n">
        <v>496</v>
      </c>
      <c r="I21" s="11">
        <f>H21/$D$21</f>
        <v/>
      </c>
      <c r="J21" s="10">
        <f>K21-H21</f>
        <v/>
      </c>
      <c r="K21" s="10" t="n">
        <v>496</v>
      </c>
      <c r="L21" s="11">
        <f>K21/$D$21</f>
        <v/>
      </c>
      <c r="M21" s="10">
        <f>N21-K21</f>
        <v/>
      </c>
      <c r="N21" s="10" t="n">
        <v>496</v>
      </c>
      <c r="O21" s="11">
        <f>N21/$D$21</f>
        <v/>
      </c>
      <c r="P21" s="10">
        <f>Q21-N21</f>
        <v/>
      </c>
      <c r="Q21" s="10" t="n">
        <v>496</v>
      </c>
      <c r="R21" s="11">
        <f>Q21/$D$21</f>
        <v/>
      </c>
      <c r="S21" s="12">
        <f>T21-Q21</f>
        <v/>
      </c>
      <c r="T21" s="12" t="n">
        <v>496</v>
      </c>
      <c r="U21" s="13">
        <f>T21/$D$21</f>
        <v/>
      </c>
      <c r="V21" s="8" t="inlineStr">
        <is>
          <t>Latest sales - Block A: 245 units, Block B: 251 units</t>
        </is>
      </c>
    </row>
    <row r="22">
      <c r="A22" s="7" t="n">
        <v>18</v>
      </c>
      <c r="B22" s="8" t="inlineStr">
        <is>
          <t>MAIA</t>
        </is>
      </c>
      <c r="C22" s="9" t="n">
        <v>46184</v>
      </c>
      <c r="D22" s="10" t="n">
        <v>495</v>
      </c>
      <c r="E22" s="7" t="inlineStr">
        <is>
          <t>30141-2</t>
        </is>
      </c>
      <c r="F22" s="8" t="inlineStr">
        <is>
          <t>LASER TOWER SDN. BHD.</t>
        </is>
      </c>
      <c r="G22" s="10" t="n"/>
      <c r="H22" s="10" t="n">
        <v>39</v>
      </c>
      <c r="I22" s="11">
        <f>H22/$D$22</f>
        <v/>
      </c>
      <c r="J22" s="10">
        <f>K22-H22</f>
        <v/>
      </c>
      <c r="K22" s="10" t="n">
        <v>59</v>
      </c>
      <c r="L22" s="11">
        <f>K22/$D$22</f>
        <v/>
      </c>
      <c r="M22" s="10">
        <f>N22-K22</f>
        <v/>
      </c>
      <c r="N22" s="10" t="n">
        <v>83</v>
      </c>
      <c r="O22" s="11">
        <f>N22/$D$22</f>
        <v/>
      </c>
      <c r="P22" s="10">
        <f>Q22-N22</f>
        <v/>
      </c>
      <c r="Q22" s="10" t="n">
        <v>112</v>
      </c>
      <c r="R22" s="11">
        <f>Q22/$D$22</f>
        <v/>
      </c>
      <c r="S22" s="12">
        <f>T22-Q22</f>
        <v/>
      </c>
      <c r="T22" s="12" t="n">
        <v>139</v>
      </c>
      <c r="U22" s="13">
        <f>T22/$D$22</f>
        <v/>
      </c>
      <c r="V22" s="8" t="inlineStr">
        <is>
          <t>Latest sales - Block A: 67 units, Block B: 72 units</t>
        </is>
      </c>
    </row>
    <row r="23">
      <c r="A23" s="7" t="n">
        <v>19</v>
      </c>
      <c r="B23" s="8" t="inlineStr">
        <is>
          <t>Residensi ZIG</t>
        </is>
      </c>
      <c r="C23" s="9" t="n">
        <v>45097</v>
      </c>
      <c r="D23" s="10" t="n">
        <v>1126</v>
      </c>
      <c r="E23" s="7" t="inlineStr">
        <is>
          <t>7466-5</t>
        </is>
      </c>
      <c r="F23" s="8" t="inlineStr">
        <is>
          <t>MEGA LEGACY (M) SDN. BHD.</t>
        </is>
      </c>
      <c r="G23" s="10" t="n"/>
      <c r="H23" s="10" t="n">
        <v>786</v>
      </c>
      <c r="I23" s="11">
        <f>H23/$D$23</f>
        <v/>
      </c>
      <c r="J23" s="10">
        <f>K23-H23</f>
        <v/>
      </c>
      <c r="K23" s="10" t="n">
        <v>789</v>
      </c>
      <c r="L23" s="11">
        <f>K23/$D$23</f>
        <v/>
      </c>
      <c r="M23" s="10">
        <f>N23-K23</f>
        <v/>
      </c>
      <c r="N23" s="10" t="n">
        <v>789</v>
      </c>
      <c r="O23" s="11">
        <f>N23/$D$23</f>
        <v/>
      </c>
      <c r="P23" s="10">
        <f>Q23-N23</f>
        <v/>
      </c>
      <c r="Q23" s="10" t="n">
        <v>791</v>
      </c>
      <c r="R23" s="11">
        <f>Q23/$D$23</f>
        <v/>
      </c>
      <c r="S23" s="12">
        <f>T23-Q23</f>
        <v/>
      </c>
      <c r="T23" s="12" t="n">
        <v>795</v>
      </c>
      <c r="U23" s="13">
        <f>T23/$D$23</f>
        <v/>
      </c>
      <c r="V23" s="8" t="inlineStr">
        <is>
          <t>Latest sales - Block A: 247 units, Block B: 297 units, Block C: 251 units</t>
        </is>
      </c>
    </row>
    <row r="24">
      <c r="A24" s="7" t="n">
        <v>20</v>
      </c>
      <c r="B24" s="8" t="inlineStr">
        <is>
          <t>KAIA Heights @ Equine Park</t>
        </is>
      </c>
      <c r="C24" s="9" t="n">
        <v>44245</v>
      </c>
      <c r="D24" s="10" t="n">
        <v>924</v>
      </c>
      <c r="E24" s="7" t="inlineStr">
        <is>
          <t>20047-1,20047-2</t>
        </is>
      </c>
      <c r="F24" s="8" t="inlineStr">
        <is>
          <t>SUNRISE ALLIANCE SDN. BHD.</t>
        </is>
      </c>
      <c r="G24" s="10" t="n"/>
      <c r="H24" s="10" t="n">
        <v>381</v>
      </c>
      <c r="I24" s="11">
        <f>H24/$D$24</f>
        <v/>
      </c>
      <c r="J24" s="10">
        <f>K24-H24</f>
        <v/>
      </c>
      <c r="K24" s="10" t="n">
        <v>381</v>
      </c>
      <c r="L24" s="11">
        <f>K24/$D$24</f>
        <v/>
      </c>
      <c r="M24" s="10">
        <f>N24-K24</f>
        <v/>
      </c>
      <c r="N24" s="10" t="n">
        <v>381</v>
      </c>
      <c r="O24" s="11">
        <f>N24/$D$24</f>
        <v/>
      </c>
      <c r="P24" s="10">
        <f>Q24-N24</f>
        <v/>
      </c>
      <c r="Q24" s="10" t="n">
        <v>381</v>
      </c>
      <c r="R24" s="11">
        <f>Q24/$D$24</f>
        <v/>
      </c>
      <c r="S24" s="12">
        <f>T24-Q24</f>
        <v/>
      </c>
      <c r="T24" s="12" t="n">
        <v>381</v>
      </c>
      <c r="U24" s="13">
        <f>T24/$D$24</f>
        <v/>
      </c>
      <c r="V24" s="8" t="inlineStr">
        <is>
          <t>Latest sales - Block A: 112 units, Block B: 142 units, Block C: 59 units, Block D: 68 units</t>
        </is>
      </c>
    </row>
    <row r="25">
      <c r="A25" s="7" t="n">
        <v>21</v>
      </c>
      <c r="B25" s="8" t="inlineStr">
        <is>
          <t>Almãs Suites @ Iskandar Puteri</t>
        </is>
      </c>
      <c r="C25" s="9" t="n">
        <v>41633</v>
      </c>
      <c r="D25" s="10" t="n">
        <v>546</v>
      </c>
      <c r="E25" s="7" t="inlineStr">
        <is>
          <t>10555-12</t>
        </is>
      </c>
      <c r="F25" s="8" t="inlineStr">
        <is>
          <t>UEM LAND BERHAD</t>
        </is>
      </c>
      <c r="G25" s="10" t="n"/>
      <c r="H25" s="10" t="n">
        <v>476</v>
      </c>
      <c r="I25" s="11">
        <f>H25/$D$25</f>
        <v/>
      </c>
      <c r="J25" s="10">
        <f>K25-H25</f>
        <v/>
      </c>
      <c r="K25" s="10" t="n">
        <v>476</v>
      </c>
      <c r="L25" s="11">
        <f>K25/$D$25</f>
        <v/>
      </c>
      <c r="M25" s="10">
        <f>N25-K25</f>
        <v/>
      </c>
      <c r="N25" s="10" t="n">
        <v>476</v>
      </c>
      <c r="O25" s="11">
        <f>N25/$D$25</f>
        <v/>
      </c>
      <c r="P25" s="10">
        <f>Q25-N25</f>
        <v/>
      </c>
      <c r="Q25" s="10" t="n">
        <v>476</v>
      </c>
      <c r="R25" s="11">
        <f>Q25/$D$25</f>
        <v/>
      </c>
      <c r="S25" s="12">
        <f>T25-Q25</f>
        <v/>
      </c>
      <c r="T25" s="12" t="n">
        <v>476</v>
      </c>
      <c r="U25" s="13">
        <f>T25/$D$25</f>
        <v/>
      </c>
      <c r="V25" s="8" t="inlineStr">
        <is>
          <t>Latest sales - Block C: 476 units</t>
        </is>
      </c>
    </row>
    <row r="26">
      <c r="A26" s="7" t="n">
        <v>22</v>
      </c>
      <c r="B26" s="8" t="inlineStr">
        <is>
          <t>Intrika 1</t>
        </is>
      </c>
      <c r="C26" s="9" t="n">
        <v>45163</v>
      </c>
      <c r="D26" s="10" t="n">
        <v>124</v>
      </c>
      <c r="E26" s="7" t="inlineStr">
        <is>
          <t>11186-16</t>
        </is>
      </c>
      <c r="F26" s="8" t="inlineStr">
        <is>
          <t>SYMPHONY HILLS SDN. BHD.</t>
        </is>
      </c>
      <c r="G26" s="10" t="n"/>
      <c r="H26" s="10" t="n">
        <v>122</v>
      </c>
      <c r="I26" s="11">
        <f>H26/$D$26</f>
        <v/>
      </c>
      <c r="J26" s="10">
        <f>K26-H26</f>
        <v/>
      </c>
      <c r="K26" s="10" t="n">
        <v>122</v>
      </c>
      <c r="L26" s="11">
        <f>K26/$D$26</f>
        <v/>
      </c>
      <c r="M26" s="10">
        <f>N26-K26</f>
        <v/>
      </c>
      <c r="N26" s="10" t="n">
        <v>122</v>
      </c>
      <c r="O26" s="11">
        <f>N26/$D$26</f>
        <v/>
      </c>
      <c r="P26" s="10">
        <f>Q26-N26</f>
        <v/>
      </c>
      <c r="Q26" s="10" t="n">
        <v>122</v>
      </c>
      <c r="R26" s="11">
        <f>Q26/$D$26</f>
        <v/>
      </c>
      <c r="S26" s="12">
        <f>T26-Q26</f>
        <v/>
      </c>
      <c r="T26" s="12" t="n">
        <v>122</v>
      </c>
      <c r="U26" s="13">
        <f>T26/$D$26</f>
        <v/>
      </c>
      <c r="V26" s="8" t="inlineStr"/>
    </row>
    <row r="27">
      <c r="A27" s="7" t="n">
        <v>23</v>
      </c>
      <c r="B27" s="8" t="inlineStr">
        <is>
          <t>Intrika 2</t>
        </is>
      </c>
      <c r="C27" s="9" t="n">
        <v>45512</v>
      </c>
      <c r="D27" s="10" t="n">
        <v>114</v>
      </c>
      <c r="E27" s="7" t="inlineStr">
        <is>
          <t>11186-17</t>
        </is>
      </c>
      <c r="F27" s="8" t="inlineStr">
        <is>
          <t>SYMPHONY HILLS SDN. BHD.</t>
        </is>
      </c>
      <c r="G27" s="10" t="n"/>
      <c r="H27" s="10" t="n">
        <v>94</v>
      </c>
      <c r="I27" s="11">
        <f>H27/$D$27</f>
        <v/>
      </c>
      <c r="J27" s="10">
        <f>K27-H27</f>
        <v/>
      </c>
      <c r="K27" s="10" t="n">
        <v>94</v>
      </c>
      <c r="L27" s="11">
        <f>K27/$D$27</f>
        <v/>
      </c>
      <c r="M27" s="10">
        <f>N27-K27</f>
        <v/>
      </c>
      <c r="N27" s="10" t="n">
        <v>97</v>
      </c>
      <c r="O27" s="11">
        <f>N27/$D$27</f>
        <v/>
      </c>
      <c r="P27" s="10">
        <f>Q27-N27</f>
        <v/>
      </c>
      <c r="Q27" s="10" t="n">
        <v>97</v>
      </c>
      <c r="R27" s="11">
        <f>Q27/$D$27</f>
        <v/>
      </c>
      <c r="S27" s="12">
        <f>T27-Q27</f>
        <v/>
      </c>
      <c r="T27" s="12" t="n">
        <v>97</v>
      </c>
      <c r="U27" s="13">
        <f>T27/$D$27</f>
        <v/>
      </c>
      <c r="V27" s="8" t="inlineStr"/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2026-10-08T23:33:04Z</dcterms:created>
  <dcterms:modified xsi:type="dcterms:W3CDTF">2026-10-08T23:33:05Z</dcterms:modified>
</cp:coreProperties>
</file>