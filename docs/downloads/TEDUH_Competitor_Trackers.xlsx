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BRDB" sheetId="4" state="visible" r:id="rId4"/>
    <sheet name="Chin Hin" sheetId="5" state="visible" r:id="rId5"/>
    <sheet name="CPI Land" sheetId="6" state="visible" r:id="rId6"/>
    <sheet name="Ecoworld" sheetId="7" state="visible" r:id="rId7"/>
    <sheet name="Exsim" sheetId="8" state="visible" r:id="rId8"/>
    <sheet name="KSL" sheetId="9" state="visible" r:id="rId9"/>
    <sheet name="Lagenda" sheetId="10" state="visible" r:id="rId10"/>
    <sheet name="LBS" sheetId="11" state="visible" r:id="rId11"/>
    <sheet name="Mah Sing" sheetId="12" state="visible" r:id="rId12"/>
    <sheet name="Majestic Gen" sheetId="13" state="visible" r:id="rId13"/>
    <sheet name="Malton" sheetId="14" state="visible" r:id="rId14"/>
    <sheet name="Maxim" sheetId="15" state="visible" r:id="rId15"/>
    <sheet name="MB World" sheetId="16" state="visible" r:id="rId16"/>
    <sheet name="Platinum Victory" sheetId="17" state="visible" r:id="rId17"/>
    <sheet name="Radium" sheetId="18" state="visible" r:id="rId18"/>
    <sheet name="Scientex" sheetId="19" state="visible" r:id="rId19"/>
    <sheet name="Setia Awan" sheetId="20" state="visible" r:id="rId20"/>
    <sheet name="Sime Darby" sheetId="21" state="visible" r:id="rId21"/>
    <sheet name="SKS" sheetId="22" state="visible" r:id="rId22"/>
    <sheet name="Skyworld" sheetId="23" state="visible" r:id="rId23"/>
    <sheet name="SP Setia" sheetId="24" state="visible" r:id="rId24"/>
    <sheet name="Trinity Group" sheetId="25" state="visible" r:id="rId25"/>
    <sheet name="TS Law" sheetId="26" state="visible" r:id="rId26"/>
    <sheet name="UEM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P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(ARMANI)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0" t="n"/>
      <c r="H5" s="10" t="n">
        <v>58</v>
      </c>
      <c r="I5" s="11">
        <f>H5/$D$5</f>
        <v/>
      </c>
      <c r="J5" s="10">
        <f>K5-H5</f>
        <v/>
      </c>
      <c r="K5" s="10" t="n">
        <v>57</v>
      </c>
      <c r="L5" s="11">
        <f>K5/$D$5</f>
        <v/>
      </c>
      <c r="M5" s="12">
        <f>N5-K5</f>
        <v/>
      </c>
      <c r="N5" s="12" t="n">
        <v>86</v>
      </c>
      <c r="O5" s="13">
        <f>N5/$D$5</f>
        <v/>
      </c>
      <c r="P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0" t="n"/>
      <c r="H6" s="10" t="n">
        <v>72</v>
      </c>
      <c r="I6" s="11">
        <f>H6/$D$6</f>
        <v/>
      </c>
      <c r="J6" s="10">
        <f>K6-H6</f>
        <v/>
      </c>
      <c r="K6" s="10" t="n">
        <v>76</v>
      </c>
      <c r="L6" s="11">
        <f>K6/$D$6</f>
        <v/>
      </c>
      <c r="M6" s="12">
        <f>N6-K6</f>
        <v/>
      </c>
      <c r="N6" s="12" t="n">
        <v>80</v>
      </c>
      <c r="O6" s="13">
        <f>N6/$D$6</f>
        <v/>
      </c>
      <c r="P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0" t="n"/>
      <c r="H7" s="10" t="n">
        <v>2</v>
      </c>
      <c r="I7" s="11">
        <f>H7/$D$7</f>
        <v/>
      </c>
      <c r="J7" s="10">
        <f>K7-H7</f>
        <v/>
      </c>
      <c r="K7" s="10" t="n">
        <v>2</v>
      </c>
      <c r="L7" s="11">
        <f>K7/$D$7</f>
        <v/>
      </c>
      <c r="M7" s="12">
        <f>N7-K7</f>
        <v/>
      </c>
      <c r="N7" s="12" t="n">
        <v>2</v>
      </c>
      <c r="O7" s="13">
        <f>N7/$D$7</f>
        <v/>
      </c>
      <c r="P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0" t="n"/>
      <c r="H8" s="10" t="n">
        <v>112</v>
      </c>
      <c r="I8" s="11">
        <f>H8/$D$8</f>
        <v/>
      </c>
      <c r="J8" s="10">
        <f>K8-H8</f>
        <v/>
      </c>
      <c r="K8" s="10" t="n">
        <v>112</v>
      </c>
      <c r="L8" s="11">
        <f>K8/$D$8</f>
        <v/>
      </c>
      <c r="M8" s="12">
        <f>N8-K8</f>
        <v/>
      </c>
      <c r="N8" s="12" t="n">
        <v>115</v>
      </c>
      <c r="O8" s="13">
        <f>N8/$D$8</f>
        <v/>
      </c>
      <c r="P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0" t="n"/>
      <c r="H9" s="10" t="n">
        <v>1006</v>
      </c>
      <c r="I9" s="11">
        <f>H9/$D$9</f>
        <v/>
      </c>
      <c r="J9" s="10">
        <f>K9-H9</f>
        <v/>
      </c>
      <c r="K9" s="10" t="n">
        <v>1016</v>
      </c>
      <c r="L9" s="11">
        <f>K9/$D$9</f>
        <v/>
      </c>
      <c r="M9" s="12">
        <f>N9-K9</f>
        <v/>
      </c>
      <c r="N9" s="12" t="n">
        <v>1018</v>
      </c>
      <c r="O9" s="13">
        <f>N9/$D$9</f>
        <v/>
      </c>
      <c r="P9" s="8" t="inlineStr">
        <is>
          <t>Latest sales - Block A: 402 units, Block B: 367 units, Block C: 249 units</t>
        </is>
      </c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0" t="n"/>
      <c r="H10" s="10" t="n">
        <v>277</v>
      </c>
      <c r="I10" s="11">
        <f>H10/$D$10</f>
        <v/>
      </c>
      <c r="J10" s="10">
        <f>K10-H10</f>
        <v/>
      </c>
      <c r="K10" s="10" t="n">
        <v>277</v>
      </c>
      <c r="L10" s="11">
        <f>K10/$D$10</f>
        <v/>
      </c>
      <c r="M10" s="12">
        <f>N10-K10</f>
        <v/>
      </c>
      <c r="N10" s="12" t="n">
        <v>277</v>
      </c>
      <c r="O10" s="13">
        <f>N10/$D$10</f>
        <v/>
      </c>
      <c r="P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0" t="n"/>
      <c r="H11" s="10" t="n">
        <v>573</v>
      </c>
      <c r="I11" s="11">
        <f>H11/$D$11</f>
        <v/>
      </c>
      <c r="J11" s="10">
        <f>K11-H11</f>
        <v/>
      </c>
      <c r="K11" s="10" t="n">
        <v>574</v>
      </c>
      <c r="L11" s="11">
        <f>K11/$D$11</f>
        <v/>
      </c>
      <c r="M11" s="12">
        <f>N11-K11</f>
        <v/>
      </c>
      <c r="N11" s="12" t="n">
        <v>574</v>
      </c>
      <c r="O11" s="13">
        <f>N11/$D$11</f>
        <v/>
      </c>
      <c r="P11" s="8" t="inlineStr">
        <is>
          <t>Latest sales - Block A: 93 units, Block B: 481 units</t>
        </is>
      </c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0" t="n"/>
      <c r="H12" s="10" t="n">
        <v>284</v>
      </c>
      <c r="I12" s="11">
        <f>H12/$D$12</f>
        <v/>
      </c>
      <c r="J12" s="10">
        <f>K12-H12</f>
        <v/>
      </c>
      <c r="K12" s="10" t="n">
        <v>289</v>
      </c>
      <c r="L12" s="11">
        <f>K12/$D$12</f>
        <v/>
      </c>
      <c r="M12" s="12">
        <f>N12-K12</f>
        <v/>
      </c>
      <c r="N12" s="12" t="n">
        <v>296</v>
      </c>
      <c r="O12" s="13">
        <f>N12/$D$12</f>
        <v/>
      </c>
      <c r="P12" s="8" t="inlineStr">
        <is>
          <t>Latest sales - Block A: 71 units, Block B: 225 units</t>
        </is>
      </c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0" t="n"/>
      <c r="H13" s="10" t="n">
        <v>331</v>
      </c>
      <c r="I13" s="11">
        <f>H13/$D$13</f>
        <v/>
      </c>
      <c r="J13" s="10">
        <f>K13-H13</f>
        <v/>
      </c>
      <c r="K13" s="10" t="n">
        <v>331</v>
      </c>
      <c r="L13" s="11">
        <f>K13/$D$13</f>
        <v/>
      </c>
      <c r="M13" s="12">
        <f>N13-K13</f>
        <v/>
      </c>
      <c r="N13" s="12" t="n">
        <v>331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0" t="n"/>
      <c r="H14" s="10" t="n">
        <v>266</v>
      </c>
      <c r="I14" s="11">
        <f>H14/$D$14</f>
        <v/>
      </c>
      <c r="J14" s="10">
        <f>K14-H14</f>
        <v/>
      </c>
      <c r="K14" s="10" t="n">
        <v>268</v>
      </c>
      <c r="L14" s="11">
        <f>K14/$D$14</f>
        <v/>
      </c>
      <c r="M14" s="12">
        <f>N14-K14</f>
        <v/>
      </c>
      <c r="N14" s="12" t="n">
        <v>269</v>
      </c>
      <c r="O14" s="13">
        <f>N14/$D$14</f>
        <v/>
      </c>
      <c r="P14" s="8" t="inlineStr">
        <is>
          <t>Latest sales - Block 1: 87 units, Block 2: 82 units, Block 3: 100 units</t>
        </is>
      </c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0" t="n"/>
      <c r="H15" s="10" t="n">
        <v>647</v>
      </c>
      <c r="I15" s="11">
        <f>H15/$D$15</f>
        <v/>
      </c>
      <c r="J15" s="10">
        <f>K15-H15</f>
        <v/>
      </c>
      <c r="K15" s="10" t="n">
        <v>647</v>
      </c>
      <c r="L15" s="11">
        <f>K15/$D$15</f>
        <v/>
      </c>
      <c r="M15" s="12">
        <f>N15-K15</f>
        <v/>
      </c>
      <c r="N15" s="12" t="n">
        <v>647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0" t="n"/>
      <c r="H16" s="10" t="n">
        <v>384</v>
      </c>
      <c r="I16" s="11">
        <f>H16/$D$16</f>
        <v/>
      </c>
      <c r="J16" s="10">
        <f>K16-H16</f>
        <v/>
      </c>
      <c r="K16" s="10" t="n">
        <v>384</v>
      </c>
      <c r="L16" s="11">
        <f>K16/$D$16</f>
        <v/>
      </c>
      <c r="M16" s="12">
        <f>N16-K16</f>
        <v/>
      </c>
      <c r="N16" s="12" t="n">
        <v>384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0" t="n"/>
      <c r="H17" s="10" t="n">
        <v>29</v>
      </c>
      <c r="I17" s="11">
        <f>H17/$D$17</f>
        <v/>
      </c>
      <c r="J17" s="10">
        <f>K17-H17</f>
        <v/>
      </c>
      <c r="K17" s="10" t="n">
        <v>34</v>
      </c>
      <c r="L17" s="11">
        <f>K17/$D$17</f>
        <v/>
      </c>
      <c r="M17" s="12">
        <f>N17-K17</f>
        <v/>
      </c>
      <c r="N17" s="12" t="n">
        <v>39</v>
      </c>
      <c r="O17" s="13">
        <f>N17/$D$17</f>
        <v/>
      </c>
      <c r="P17" s="8" t="inlineStr">
        <is>
          <t>Latest sales - Block A: 15 units, Block B: 24 units</t>
        </is>
      </c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0" t="n"/>
      <c r="H18" s="10" t="n">
        <v>0</v>
      </c>
      <c r="I18" s="11">
        <f>H18/$D$18</f>
        <v/>
      </c>
      <c r="J18" s="10">
        <f>K18-H18</f>
        <v/>
      </c>
      <c r="K18" s="10" t="n">
        <v>0</v>
      </c>
      <c r="L18" s="11">
        <f>K18/$D$18</f>
        <v/>
      </c>
      <c r="M18" s="12">
        <f>N18-K18</f>
        <v/>
      </c>
      <c r="N18" s="12" t="n">
        <v>0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0" t="n"/>
      <c r="H19" s="10" t="n">
        <v>96</v>
      </c>
      <c r="I19" s="11">
        <f>H19/$D$19</f>
        <v/>
      </c>
      <c r="J19" s="10">
        <f>K19-H19</f>
        <v/>
      </c>
      <c r="K19" s="10" t="n">
        <v>97</v>
      </c>
      <c r="L19" s="11">
        <f>K19/$D$19</f>
        <v/>
      </c>
      <c r="M19" s="12">
        <f>N19-K19</f>
        <v/>
      </c>
      <c r="N19" s="12" t="n">
        <v>97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0" t="n"/>
      <c r="H20" s="10" t="n">
        <v>81</v>
      </c>
      <c r="I20" s="11">
        <f>H20/$D$20</f>
        <v/>
      </c>
      <c r="J20" s="10">
        <f>K20-H20</f>
        <v/>
      </c>
      <c r="K20" s="10" t="n">
        <v>82</v>
      </c>
      <c r="L20" s="11">
        <f>K20/$D$20</f>
        <v/>
      </c>
      <c r="M20" s="12">
        <f>N20-K20</f>
        <v/>
      </c>
      <c r="N20" s="12" t="n">
        <v>82</v>
      </c>
      <c r="O20" s="13">
        <f>N20/$D$20</f>
        <v/>
      </c>
      <c r="P20" s="8" t="inlineStr"/>
    </row>
    <row r="21">
      <c r="A21" s="7" t="n">
        <v>17</v>
      </c>
      <c r="B21" s="8" t="inlineStr">
        <is>
          <t>Taman Armani Balok Permai</t>
        </is>
      </c>
      <c r="C21" s="9" t="n">
        <v>45800</v>
      </c>
      <c r="D21" s="10" t="n">
        <v>28</v>
      </c>
      <c r="E21" s="7" t="inlineStr">
        <is>
          <t>11565-33</t>
        </is>
      </c>
      <c r="F21" s="8" t="inlineStr">
        <is>
          <t>ARMANI IDAMAN SDN. BHD.</t>
        </is>
      </c>
      <c r="G21" s="10" t="n"/>
      <c r="H21" s="10" t="n"/>
      <c r="I21" s="11" t="n"/>
      <c r="J21" s="10" t="n"/>
      <c r="K21" s="10" t="n"/>
      <c r="L21" s="11" t="n"/>
      <c r="M21" s="12" t="n"/>
      <c r="N21" s="12" t="n">
        <v>12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Taman Armani Seberang Balok</t>
        </is>
      </c>
      <c r="C22" s="9" t="n">
        <v>45769</v>
      </c>
      <c r="D22" s="10" t="n">
        <v>29</v>
      </c>
      <c r="E22" s="7" t="inlineStr">
        <is>
          <t>11565-39</t>
        </is>
      </c>
      <c r="F22" s="8" t="inlineStr">
        <is>
          <t>ARMANI IDAMAN SDN. BHD.</t>
        </is>
      </c>
      <c r="G22" s="10" t="n"/>
      <c r="H22" s="10" t="n"/>
      <c r="I22" s="11" t="n"/>
      <c r="J22" s="10" t="n"/>
      <c r="K22" s="10" t="n"/>
      <c r="L22" s="11" t="n"/>
      <c r="M22" s="12" t="n"/>
      <c r="N22" s="12" t="n">
        <v>9</v>
      </c>
      <c r="O22" s="13">
        <f>N22/$D$22</f>
        <v/>
      </c>
      <c r="P22" s="8" t="inlineStr"/>
    </row>
    <row r="23">
      <c r="A23" s="7" t="n">
        <v>19</v>
      </c>
      <c r="B23" s="8" t="inlineStr">
        <is>
          <t>Taman Armani Balok Perdana</t>
        </is>
      </c>
      <c r="C23" s="9" t="n">
        <v>46195</v>
      </c>
      <c r="D23" s="10" t="n">
        <v>30</v>
      </c>
      <c r="E23" s="7" t="inlineStr">
        <is>
          <t>11565-40</t>
        </is>
      </c>
      <c r="F23" s="8" t="inlineStr">
        <is>
          <t>ARMANI IDAMAN SDN. BHD.</t>
        </is>
      </c>
      <c r="G23" s="10" t="n"/>
      <c r="H23" s="10" t="n"/>
      <c r="I23" s="11" t="n"/>
      <c r="J23" s="10" t="n"/>
      <c r="K23" s="10" t="n"/>
      <c r="L23" s="11" t="n"/>
      <c r="M23" s="12" t="n"/>
      <c r="N23" s="12" t="n">
        <v>0</v>
      </c>
      <c r="O23" s="13">
        <f>N23/$D$23</f>
        <v/>
      </c>
      <c r="P23" s="8" t="inlineStr"/>
    </row>
    <row r="24">
      <c r="A24" s="7" t="n">
        <v>20</v>
      </c>
      <c r="B24" s="8" t="inlineStr">
        <is>
          <t>Taman Armani Padang Indah</t>
        </is>
      </c>
      <c r="C24" s="9" t="n">
        <v>46195</v>
      </c>
      <c r="D24" s="10" t="n">
        <v>28</v>
      </c>
      <c r="E24" s="7" t="inlineStr">
        <is>
          <t>11565-41</t>
        </is>
      </c>
      <c r="F24" s="8" t="inlineStr">
        <is>
          <t>ARMANI IDAMAN SDN. BHD.</t>
        </is>
      </c>
      <c r="G24" s="10" t="n"/>
      <c r="H24" s="10" t="n"/>
      <c r="I24" s="11" t="n"/>
      <c r="J24" s="10" t="n"/>
      <c r="K24" s="10" t="n"/>
      <c r="L24" s="11" t="n"/>
      <c r="M24" s="12" t="n"/>
      <c r="N24" s="12" t="n">
        <v>0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Taman Armani Mentakab Indah</t>
        </is>
      </c>
      <c r="C25" s="9" t="n">
        <v>46204</v>
      </c>
      <c r="D25" s="10" t="n">
        <v>28</v>
      </c>
      <c r="E25" s="7" t="inlineStr">
        <is>
          <t>11565-42</t>
        </is>
      </c>
      <c r="F25" s="8" t="inlineStr">
        <is>
          <t>ARMANI IDAMAN SDN. BHD.</t>
        </is>
      </c>
      <c r="G25" s="10" t="n"/>
      <c r="H25" s="10" t="n"/>
      <c r="I25" s="11" t="n"/>
      <c r="J25" s="10" t="n"/>
      <c r="K25" s="10" t="n"/>
      <c r="L25" s="11" t="n"/>
      <c r="M25" s="12" t="n"/>
      <c r="N25" s="12" t="n">
        <v>0</v>
      </c>
      <c r="O25" s="13">
        <f>N25/$D$25</f>
        <v/>
      </c>
      <c r="P25" s="8" t="inlineStr"/>
    </row>
    <row r="26">
      <c r="A26" s="7" t="n">
        <v>22</v>
      </c>
      <c r="B26" s="8" t="inlineStr">
        <is>
          <t>Residensi Madani Mawar</t>
        </is>
      </c>
      <c r="C26" s="9" t="n">
        <v>46211</v>
      </c>
      <c r="D26" s="10" t="n">
        <v>600</v>
      </c>
      <c r="E26" s="7" t="inlineStr">
        <is>
          <t>13975-7</t>
        </is>
      </c>
      <c r="F26" s="8" t="inlineStr">
        <is>
          <t>GOLDEN ARMANI SDN. BHD.</t>
        </is>
      </c>
      <c r="G26" s="10" t="n"/>
      <c r="H26" s="10" t="n"/>
      <c r="I26" s="11" t="n"/>
      <c r="J26" s="10" t="n"/>
      <c r="K26" s="10" t="n"/>
      <c r="L26" s="11" t="n"/>
      <c r="M26" s="12" t="n"/>
      <c r="N26" s="12" t="n">
        <v>0</v>
      </c>
      <c r="O26" s="13">
        <f>N26/$D$26</f>
        <v/>
      </c>
      <c r="P26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(AVALAND)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0" t="n"/>
      <c r="H5" s="10" t="n">
        <v>125</v>
      </c>
      <c r="I5" s="11">
        <f>H5/$D$5</f>
        <v/>
      </c>
      <c r="J5" s="10">
        <f>K5-H5</f>
        <v/>
      </c>
      <c r="K5" s="10" t="n">
        <v>125</v>
      </c>
      <c r="L5" s="11">
        <f>K5/$D$5</f>
        <v/>
      </c>
      <c r="M5" s="12">
        <f>N5-K5</f>
        <v/>
      </c>
      <c r="N5" s="12" t="n">
        <v>125</v>
      </c>
      <c r="O5" s="13">
        <f>N5/$D$5</f>
        <v/>
      </c>
      <c r="P5" s="8" t="inlineStr">
        <is>
          <t>Latest sales - Block A: 70 units, Block B: 55 units</t>
        </is>
      </c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30162-1,30162-2</t>
        </is>
      </c>
      <c r="F6" s="8" t="inlineStr"/>
      <c r="G6" s="10" t="n"/>
      <c r="H6" s="10" t="n">
        <v>425</v>
      </c>
      <c r="I6" s="11">
        <f>H6/$D$6</f>
        <v/>
      </c>
      <c r="J6" s="10">
        <f>K6-H6</f>
        <v/>
      </c>
      <c r="K6" s="10" t="n">
        <v>427</v>
      </c>
      <c r="L6" s="11">
        <f>K6/$D$6</f>
        <v/>
      </c>
      <c r="M6" s="12">
        <f>N6-K6</f>
        <v/>
      </c>
      <c r="N6" s="12" t="n">
        <v>435</v>
      </c>
      <c r="O6" s="13">
        <f>N6/$D$6</f>
        <v/>
      </c>
      <c r="P6" s="8" t="inlineStr">
        <is>
          <t>Latest sales - Block A: 321 units, Block B: 114 units</t>
        </is>
      </c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0" t="n"/>
      <c r="H7" s="10" t="n">
        <v>457</v>
      </c>
      <c r="I7" s="11">
        <f>H7/$D$7</f>
        <v/>
      </c>
      <c r="J7" s="10">
        <f>K7-H7</f>
        <v/>
      </c>
      <c r="K7" s="10" t="n">
        <v>459</v>
      </c>
      <c r="L7" s="11">
        <f>K7/$D$7</f>
        <v/>
      </c>
      <c r="M7" s="12">
        <f>N7-K7</f>
        <v/>
      </c>
      <c r="N7" s="12" t="n">
        <v>460</v>
      </c>
      <c r="O7" s="13">
        <f>N7/$D$7</f>
        <v/>
      </c>
      <c r="P7" s="8" t="inlineStr">
        <is>
          <t>Latest sales - Block A: 216 units, Block B: 244 units</t>
        </is>
      </c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0" t="n"/>
      <c r="H8" s="10" t="n">
        <v>275</v>
      </c>
      <c r="I8" s="11">
        <f>H8/$D$8</f>
        <v/>
      </c>
      <c r="J8" s="10">
        <f>K8-H8</f>
        <v/>
      </c>
      <c r="K8" s="10" t="n">
        <v>277</v>
      </c>
      <c r="L8" s="11">
        <f>K8/$D$8</f>
        <v/>
      </c>
      <c r="M8" s="12">
        <f>N8-K8</f>
        <v/>
      </c>
      <c r="N8" s="12" t="n">
        <v>278</v>
      </c>
      <c r="O8" s="13">
        <f>N8/$D$8</f>
        <v/>
      </c>
      <c r="P8" s="8" t="inlineStr">
        <is>
          <t>Latest sales - Block A: 278 units</t>
        </is>
      </c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0" t="n"/>
      <c r="H9" s="10" t="n">
        <v>180</v>
      </c>
      <c r="I9" s="11">
        <f>H9/$D$9</f>
        <v/>
      </c>
      <c r="J9" s="10">
        <f>K9-H9</f>
        <v/>
      </c>
      <c r="K9" s="10" t="n">
        <v>181</v>
      </c>
      <c r="L9" s="11">
        <f>K9/$D$9</f>
        <v/>
      </c>
      <c r="M9" s="12">
        <f>N9-K9</f>
        <v/>
      </c>
      <c r="N9" s="12" t="n">
        <v>185</v>
      </c>
      <c r="O9" s="13">
        <f>N9/$D$9</f>
        <v/>
      </c>
      <c r="P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0" t="n"/>
      <c r="H10" s="10" t="n">
        <v>232</v>
      </c>
      <c r="I10" s="11">
        <f>H10/$D$10</f>
        <v/>
      </c>
      <c r="J10" s="10">
        <f>K10-H10</f>
        <v/>
      </c>
      <c r="K10" s="10" t="n">
        <v>234</v>
      </c>
      <c r="L10" s="11">
        <f>K10/$D$10</f>
        <v/>
      </c>
      <c r="M10" s="12">
        <f>N10-K10</f>
        <v/>
      </c>
      <c r="N10" s="12" t="n">
        <v>234</v>
      </c>
      <c r="O10" s="13">
        <f>N10/$D$10</f>
        <v/>
      </c>
      <c r="P10" s="8" t="inlineStr">
        <is>
          <t>Latest sales - Block T7: 99 units, Block T8: 135 units</t>
        </is>
      </c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0" t="n"/>
      <c r="H12" s="10" t="n">
        <v>221</v>
      </c>
      <c r="I12" s="11">
        <f>H12/$D$12</f>
        <v/>
      </c>
      <c r="J12" s="10">
        <f>K12-H12</f>
        <v/>
      </c>
      <c r="K12" s="10" t="n">
        <v>221</v>
      </c>
      <c r="L12" s="11">
        <f>K12/$D$12</f>
        <v/>
      </c>
      <c r="M12" s="12">
        <f>N12-K12</f>
        <v/>
      </c>
      <c r="N12" s="12" t="n">
        <v>221</v>
      </c>
      <c r="O12" s="13">
        <f>N12/$D$12</f>
        <v/>
      </c>
      <c r="P12" s="8" t="inlineStr">
        <is>
          <t>Latest sales - Block A: 144 units, Block B: 77 units</t>
        </is>
      </c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/>
      <c r="F13" s="8" t="inlineStr"/>
      <c r="G13" s="10" t="n"/>
      <c r="H13" s="10" t="n"/>
      <c r="I13" s="11" t="n"/>
      <c r="J13" s="10" t="n"/>
      <c r="K13" s="10" t="n"/>
      <c r="L13" s="11" t="n"/>
      <c r="M13" s="12" t="n"/>
      <c r="N13" s="12" t="n"/>
      <c r="O13" s="13" t="n"/>
      <c r="P13" s="8" t="inlineStr">
        <is>
          <t>Not yet launched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P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(BINASTRA)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0" t="n"/>
      <c r="H5" s="10" t="n">
        <v>303</v>
      </c>
      <c r="I5" s="11">
        <f>H5/$D$5</f>
        <v/>
      </c>
      <c r="J5" s="10">
        <f>K5-H5</f>
        <v/>
      </c>
      <c r="K5" s="10" t="n">
        <v>358</v>
      </c>
      <c r="L5" s="11">
        <f>K5/$D$5</f>
        <v/>
      </c>
      <c r="M5" s="12">
        <f>N5-K5</f>
        <v/>
      </c>
      <c r="N5" s="12" t="n">
        <v>402</v>
      </c>
      <c r="O5" s="13">
        <f>N5/$D$5</f>
        <v/>
      </c>
      <c r="P5" s="8" t="inlineStr">
        <is>
          <t>Latest sales - Block A: 236 units, Block B: 166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0" t="n"/>
      <c r="H6" s="10" t="n"/>
      <c r="I6" s="11" t="n"/>
      <c r="J6" s="10" t="n"/>
      <c r="K6" s="10" t="n"/>
      <c r="L6" s="11" t="n"/>
      <c r="M6" s="12" t="n"/>
      <c r="N6" s="12" t="n"/>
      <c r="O6" s="13" t="n"/>
      <c r="P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on TEDUH.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(BRDB)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0" t="n"/>
      <c r="H5" s="10" t="n">
        <v>551</v>
      </c>
      <c r="I5" s="11">
        <f>H5/$D$5</f>
        <v/>
      </c>
      <c r="J5" s="12">
        <f>K5-H5</f>
        <v/>
      </c>
      <c r="K5" s="12" t="n">
        <v>551</v>
      </c>
      <c r="L5" s="13">
        <f>K5/$D$5</f>
        <v/>
      </c>
      <c r="M5" s="8" t="inlineStr">
        <is>
          <t>Latest sales - Block 1: 277 units, Block 2: 274 units</t>
        </is>
      </c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0" t="n"/>
      <c r="H6" s="10" t="n">
        <v>82</v>
      </c>
      <c r="I6" s="11">
        <f>H6/$D$6</f>
        <v/>
      </c>
      <c r="J6" s="12">
        <f>K6-H6</f>
        <v/>
      </c>
      <c r="K6" s="12" t="n">
        <v>82</v>
      </c>
      <c r="L6" s="13">
        <f>K6/$D$6</f>
        <v/>
      </c>
      <c r="M6" s="8" t="inlineStr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16</v>
      </c>
      <c r="L7" s="13">
        <f>K7/$D$7</f>
        <v/>
      </c>
      <c r="M7" s="8" t="inlineStr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0" t="n"/>
      <c r="H8" s="10" t="n">
        <v>17</v>
      </c>
      <c r="I8" s="11">
        <f>H8/$D$8</f>
        <v/>
      </c>
      <c r="J8" s="12">
        <f>K8-H8</f>
        <v/>
      </c>
      <c r="K8" s="12" t="n">
        <v>17</v>
      </c>
      <c r="L8" s="13">
        <f>K8/$D$8</f>
        <v/>
      </c>
      <c r="M8" s="8" t="inlineStr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0" t="n"/>
      <c r="H9" s="10" t="n">
        <v>193</v>
      </c>
      <c r="I9" s="11">
        <f>H9/$D$9</f>
        <v/>
      </c>
      <c r="J9" s="12">
        <f>K9-H9</f>
        <v/>
      </c>
      <c r="K9" s="12" t="n">
        <v>195</v>
      </c>
      <c r="L9" s="13">
        <f>K9/$D$9</f>
        <v/>
      </c>
      <c r="M9" s="8" t="inlineStr">
        <is>
          <t>Latest sales - Block A: 97 units, Block B: 98 units</t>
        </is>
      </c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0" t="n"/>
      <c r="H10" s="10" t="n">
        <v>78</v>
      </c>
      <c r="I10" s="11">
        <f>H10/$D$10</f>
        <v/>
      </c>
      <c r="J10" s="12">
        <f>K10-H10</f>
        <v/>
      </c>
      <c r="K10" s="12" t="n">
        <v>79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0" t="n"/>
      <c r="H11" s="10" t="n">
        <v>43</v>
      </c>
      <c r="I11" s="11">
        <f>H11/$D$11</f>
        <v/>
      </c>
      <c r="J11" s="12">
        <f>K11-H11</f>
        <v/>
      </c>
      <c r="K11" s="12" t="n">
        <v>43</v>
      </c>
      <c r="L11" s="13">
        <f>K11/$D$11</f>
        <v/>
      </c>
      <c r="M11" s="8" t="inlineStr">
        <is>
          <t>Latest sales - Block A: 2 units, Block B: 6 units, Block C: 4 units, Block D: 10 units, Block E: 2 units, Block F: 2 units, Block G: 10 units, Block H: 7 units</t>
        </is>
      </c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0" t="n"/>
      <c r="H12" s="10" t="n">
        <v>94</v>
      </c>
      <c r="I12" s="11">
        <f>H12/$D$12</f>
        <v/>
      </c>
      <c r="J12" s="12">
        <f>K12-H12</f>
        <v/>
      </c>
      <c r="K12" s="12" t="n">
        <v>94</v>
      </c>
      <c r="L12" s="13">
        <f>K12/$D$12</f>
        <v/>
      </c>
      <c r="M12" s="8" t="inlineStr">
        <is>
          <t>Latest sales - Block A: 45 units, Block B: 49 units</t>
        </is>
      </c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0" t="n"/>
      <c r="H13" s="10" t="n">
        <v>145</v>
      </c>
      <c r="I13" s="11">
        <f>H13/$D$13</f>
        <v/>
      </c>
      <c r="J13" s="12">
        <f>K13-H13</f>
        <v/>
      </c>
      <c r="K13" s="12" t="n">
        <v>145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0" t="n"/>
      <c r="H14" s="10" t="n">
        <v>314</v>
      </c>
      <c r="I14" s="11">
        <f>H14/$D$14</f>
        <v/>
      </c>
      <c r="J14" s="12">
        <f>K14-H14</f>
        <v/>
      </c>
      <c r="K14" s="12" t="n">
        <v>317</v>
      </c>
      <c r="L14" s="13">
        <f>K14/$D$14</f>
        <v/>
      </c>
      <c r="M14" s="8" t="inlineStr">
        <is>
          <t>Latest sales - Block A: 194 units, Block B: 123 units</t>
        </is>
      </c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13819-1,13819-2,13819-3,13819-4,13819-5,13819-6</t>
        </is>
      </c>
      <c r="F16" s="8" t="inlineStr">
        <is>
          <t>PINGGIR MENTARI SDN. BHD.</t>
        </is>
      </c>
      <c r="G16" s="10" t="n"/>
      <c r="H16" s="10" t="n">
        <v>654</v>
      </c>
      <c r="I16" s="11">
        <f>H16/$D$16</f>
        <v/>
      </c>
      <c r="J16" s="12">
        <f>K16-H16</f>
        <v/>
      </c>
      <c r="K16" s="12" t="n">
        <v>654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12446-1,12446-2,12446-3</t>
        </is>
      </c>
      <c r="F17" s="8" t="inlineStr">
        <is>
          <t>HAUTE PROPERTY SDN. BHD.</t>
        </is>
      </c>
      <c r="G17" s="10" t="n"/>
      <c r="H17" s="10" t="n">
        <v>68</v>
      </c>
      <c r="I17" s="11">
        <f>H17/$D$17</f>
        <v/>
      </c>
      <c r="J17" s="12">
        <f>K17-H17</f>
        <v/>
      </c>
      <c r="K17" s="12" t="n">
        <v>68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0" t="n"/>
      <c r="H18" s="10" t="n">
        <v>281</v>
      </c>
      <c r="I18" s="11">
        <f>H18/$D$18</f>
        <v/>
      </c>
      <c r="J18" s="12">
        <f>K18-H18</f>
        <v/>
      </c>
      <c r="K18" s="12" t="n">
        <v>281</v>
      </c>
      <c r="L18" s="13">
        <f>K18/$D$18</f>
        <v/>
      </c>
      <c r="M18" s="8" t="inlineStr">
        <is>
          <t>Latest sales - Block C: 281 units</t>
        </is>
      </c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/>
      <c r="F19" s="8" t="inlineStr"/>
      <c r="G19" s="10" t="n"/>
      <c r="H19" s="10" t="n"/>
      <c r="I19" s="11" t="n"/>
      <c r="J19" s="12" t="n"/>
      <c r="K19" s="12" t="n"/>
      <c r="L19" s="13" t="n"/>
      <c r="M19" s="8" t="inlineStr">
        <is>
          <t>Not launched yet.</t>
        </is>
      </c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0" t="n"/>
      <c r="H20" s="10" t="n">
        <v>553</v>
      </c>
      <c r="I20" s="11">
        <f>H20/$D$20</f>
        <v/>
      </c>
      <c r="J20" s="12">
        <f>K20-H20</f>
        <v/>
      </c>
      <c r="K20" s="12" t="n">
        <v>553</v>
      </c>
      <c r="L20" s="13">
        <f>K20/$D$20</f>
        <v/>
      </c>
      <c r="M20" s="8" t="inlineStr">
        <is>
          <t>Latest sales - Block A: 277 units, Block B: 276 units</t>
        </is>
      </c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0" t="n"/>
      <c r="H21" s="10" t="n">
        <v>127</v>
      </c>
      <c r="I21" s="11">
        <f>H21/$D$21</f>
        <v/>
      </c>
      <c r="J21" s="12">
        <f>K21-H21</f>
        <v/>
      </c>
      <c r="K21" s="12" t="n">
        <v>127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835-8,835-9</t>
        </is>
      </c>
      <c r="F22" s="8" t="inlineStr">
        <is>
          <t>PERMAS JAYA SDN. BHD.</t>
        </is>
      </c>
      <c r="G22" s="10" t="n"/>
      <c r="H22" s="10" t="n">
        <v>173</v>
      </c>
      <c r="I22" s="11">
        <f>H22/$D$22</f>
        <v/>
      </c>
      <c r="J22" s="12">
        <f>K22-H22</f>
        <v/>
      </c>
      <c r="K22" s="12" t="n">
        <v>173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835-6,835-7</t>
        </is>
      </c>
      <c r="F23" s="8" t="inlineStr">
        <is>
          <t>PERMAS JAYA SDN. BHD.</t>
        </is>
      </c>
      <c r="G23" s="10" t="n"/>
      <c r="H23" s="10" t="n">
        <v>94</v>
      </c>
      <c r="I23" s="11">
        <f>H23/$D$23</f>
        <v/>
      </c>
      <c r="J23" s="12">
        <f>K23-H23</f>
        <v/>
      </c>
      <c r="K23" s="12" t="n">
        <v>94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0" t="n"/>
      <c r="H26" s="10" t="n">
        <v>277</v>
      </c>
      <c r="I26" s="11">
        <f>H26/$D$26</f>
        <v/>
      </c>
      <c r="J26" s="12">
        <f>K26-H26</f>
        <v/>
      </c>
      <c r="K26" s="12" t="n">
        <v>277</v>
      </c>
      <c r="L26" s="13">
        <f>K26/$D$26</f>
        <v/>
      </c>
      <c r="M26" s="8" t="inlineStr">
        <is>
          <t>Latest sales - Block A1: 130 units, Block A2: 131 units, Block B: 16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(CHIN HIN)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0" t="n"/>
      <c r="H5" s="10" t="n">
        <v>727</v>
      </c>
      <c r="I5" s="11">
        <f>H5/$D$5</f>
        <v/>
      </c>
      <c r="J5" s="10">
        <f>K5-H5</f>
        <v/>
      </c>
      <c r="K5" s="10" t="n">
        <v>733</v>
      </c>
      <c r="L5" s="11">
        <f>K5/$D$5</f>
        <v/>
      </c>
      <c r="M5" s="12">
        <f>N5-K5</f>
        <v/>
      </c>
      <c r="N5" s="12" t="n">
        <v>735</v>
      </c>
      <c r="O5" s="13">
        <f>N5/$D$5</f>
        <v/>
      </c>
      <c r="P5" s="8" t="inlineStr">
        <is>
          <t>Latest sales - Block A: 445 units, Block B: 290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0" t="n"/>
      <c r="H6" s="10" t="n">
        <v>603</v>
      </c>
      <c r="I6" s="11">
        <f>H6/$D$6</f>
        <v/>
      </c>
      <c r="J6" s="10">
        <f>K6-H6</f>
        <v/>
      </c>
      <c r="K6" s="10" t="n">
        <v>604</v>
      </c>
      <c r="L6" s="11">
        <f>K6/$D$6</f>
        <v/>
      </c>
      <c r="M6" s="12">
        <f>N6-K6</f>
        <v/>
      </c>
      <c r="N6" s="12" t="n">
        <v>605</v>
      </c>
      <c r="O6" s="13">
        <f>N6/$D$6</f>
        <v/>
      </c>
      <c r="P6" s="8" t="inlineStr">
        <is>
          <t>Latest sales - Block A: 301 units, Block B: 304 units</t>
        </is>
      </c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0" t="n"/>
      <c r="H7" s="10" t="n">
        <v>809</v>
      </c>
      <c r="I7" s="11">
        <f>H7/$D$7</f>
        <v/>
      </c>
      <c r="J7" s="10">
        <f>K7-H7</f>
        <v/>
      </c>
      <c r="K7" s="10" t="n">
        <v>809</v>
      </c>
      <c r="L7" s="11">
        <f>K7/$D$7</f>
        <v/>
      </c>
      <c r="M7" s="12">
        <f>N7-K7</f>
        <v/>
      </c>
      <c r="N7" s="12" t="n">
        <v>811</v>
      </c>
      <c r="O7" s="13">
        <f>N7/$D$7</f>
        <v/>
      </c>
      <c r="P7" s="8" t="inlineStr">
        <is>
          <t>Latest sales - Block A: 336 units, Block B: 475 units</t>
        </is>
      </c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0" t="n"/>
      <c r="H8" s="10" t="n">
        <v>761</v>
      </c>
      <c r="I8" s="11">
        <f>H8/$D$8</f>
        <v/>
      </c>
      <c r="J8" s="10">
        <f>K8-H8</f>
        <v/>
      </c>
      <c r="K8" s="10" t="n">
        <v>762</v>
      </c>
      <c r="L8" s="11">
        <f>K8/$D$8</f>
        <v/>
      </c>
      <c r="M8" s="12">
        <f>N8-K8</f>
        <v/>
      </c>
      <c r="N8" s="12" t="n">
        <v>762</v>
      </c>
      <c r="O8" s="13">
        <f>N8/$D$8</f>
        <v/>
      </c>
      <c r="P8" s="8" t="inlineStr">
        <is>
          <t>Latest sales - Block A: 322 units, Block B: 440 units</t>
        </is>
      </c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0" t="n"/>
      <c r="H9" s="10" t="n">
        <v>482</v>
      </c>
      <c r="I9" s="11">
        <f>H9/$D$9</f>
        <v/>
      </c>
      <c r="J9" s="10">
        <f>K9-H9</f>
        <v/>
      </c>
      <c r="K9" s="10" t="n">
        <v>484</v>
      </c>
      <c r="L9" s="11">
        <f>K9/$D$9</f>
        <v/>
      </c>
      <c r="M9" s="12">
        <f>N9-K9</f>
        <v/>
      </c>
      <c r="N9" s="12" t="n">
        <v>486</v>
      </c>
      <c r="O9" s="13">
        <f>N9/$D$9</f>
        <v/>
      </c>
      <c r="P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0" t="n"/>
      <c r="H10" s="10" t="n">
        <v>275</v>
      </c>
      <c r="I10" s="11">
        <f>H10/$D$10</f>
        <v/>
      </c>
      <c r="J10" s="10">
        <f>K10-H10</f>
        <v/>
      </c>
      <c r="K10" s="10" t="n">
        <v>283</v>
      </c>
      <c r="L10" s="11">
        <f>K10/$D$10</f>
        <v/>
      </c>
      <c r="M10" s="12">
        <f>N10-K10</f>
        <v/>
      </c>
      <c r="N10" s="12" t="n">
        <v>293</v>
      </c>
      <c r="O10" s="13">
        <f>N10/$D$10</f>
        <v/>
      </c>
      <c r="P10" s="8" t="inlineStr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0" t="n"/>
      <c r="H11" s="10" t="n">
        <v>678</v>
      </c>
      <c r="I11" s="11">
        <f>H11/$D$11</f>
        <v/>
      </c>
      <c r="J11" s="10">
        <f>K11-H11</f>
        <v/>
      </c>
      <c r="K11" s="10" t="n">
        <v>678</v>
      </c>
      <c r="L11" s="11">
        <f>K11/$D$11</f>
        <v/>
      </c>
      <c r="M11" s="12">
        <f>N11-K11</f>
        <v/>
      </c>
      <c r="N11" s="12" t="n">
        <v>678</v>
      </c>
      <c r="O11" s="13">
        <f>N11/$D$11</f>
        <v/>
      </c>
      <c r="P11" s="8" t="inlineStr">
        <is>
          <t>Latest sales - Block A: 313 units, Block B: 365 units</t>
        </is>
      </c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0" t="n"/>
      <c r="H12" s="10" t="n">
        <v>822</v>
      </c>
      <c r="I12" s="11">
        <f>H12/$D$12</f>
        <v/>
      </c>
      <c r="J12" s="10">
        <f>K12-H12</f>
        <v/>
      </c>
      <c r="K12" s="10" t="n">
        <v>822</v>
      </c>
      <c r="L12" s="11">
        <f>K12/$D$12</f>
        <v/>
      </c>
      <c r="M12" s="12">
        <f>N12-K12</f>
        <v/>
      </c>
      <c r="N12" s="12" t="n">
        <v>822</v>
      </c>
      <c r="O12" s="13">
        <f>N12/$D$12</f>
        <v/>
      </c>
      <c r="P12" s="8" t="inlineStr">
        <is>
          <t>Latest sales - Block A: 822 units</t>
        </is>
      </c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0" t="n"/>
      <c r="H13" s="10" t="n">
        <v>221</v>
      </c>
      <c r="I13" s="11">
        <f>H13/$D$13</f>
        <v/>
      </c>
      <c r="J13" s="10">
        <f>K13-H13</f>
        <v/>
      </c>
      <c r="K13" s="10" t="n">
        <v>221</v>
      </c>
      <c r="L13" s="11">
        <f>K13/$D$13</f>
        <v/>
      </c>
      <c r="M13" s="12">
        <f>N13-K13</f>
        <v/>
      </c>
      <c r="N13" s="12" t="n">
        <v>221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0" t="n"/>
      <c r="H14" s="10" t="n">
        <v>477</v>
      </c>
      <c r="I14" s="11">
        <f>H14/$D$14</f>
        <v/>
      </c>
      <c r="J14" s="10">
        <f>K14-H14</f>
        <v/>
      </c>
      <c r="K14" s="10" t="n">
        <v>477</v>
      </c>
      <c r="L14" s="11">
        <f>K14/$D$14</f>
        <v/>
      </c>
      <c r="M14" s="12">
        <f>N14-K14</f>
        <v/>
      </c>
      <c r="N14" s="12" t="n">
        <v>479</v>
      </c>
      <c r="O14" s="13">
        <f>N14/$D$14</f>
        <v/>
      </c>
      <c r="P14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(CPI LAND)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0" t="n"/>
      <c r="H5" s="10" t="n">
        <v>647</v>
      </c>
      <c r="I5" s="11">
        <f>H5/$D$5</f>
        <v/>
      </c>
      <c r="J5" s="12">
        <f>K5-H5</f>
        <v/>
      </c>
      <c r="K5" s="12" t="n">
        <v>647</v>
      </c>
      <c r="L5" s="13">
        <f>K5/$D$5</f>
        <v/>
      </c>
      <c r="M5" s="8" t="inlineStr">
        <is>
          <t>Latest sales - Block A: 392 units, Block B: 255 units</t>
        </is>
      </c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0" t="n"/>
      <c r="H6" s="10" t="n">
        <v>114</v>
      </c>
      <c r="I6" s="11">
        <f>H6/$D$6</f>
        <v/>
      </c>
      <c r="J6" s="12">
        <f>K6-H6</f>
        <v/>
      </c>
      <c r="K6" s="12" t="n">
        <v>114</v>
      </c>
      <c r="L6" s="13">
        <f>K6/$D$6</f>
        <v/>
      </c>
      <c r="M6" s="8" t="inlineStr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0" t="n"/>
      <c r="H7" s="10" t="n">
        <v>52</v>
      </c>
      <c r="I7" s="11">
        <f>H7/$D$7</f>
        <v/>
      </c>
      <c r="J7" s="12">
        <f>K7-H7</f>
        <v/>
      </c>
      <c r="K7" s="12" t="n">
        <v>52</v>
      </c>
      <c r="L7" s="13">
        <f>K7/$D$7</f>
        <v/>
      </c>
      <c r="M7" s="8" t="inlineStr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0" t="n"/>
      <c r="H8" s="10" t="n">
        <v>596</v>
      </c>
      <c r="I8" s="11">
        <f>H8/$D$8</f>
        <v/>
      </c>
      <c r="J8" s="12">
        <f>K8-H8</f>
        <v/>
      </c>
      <c r="K8" s="12" t="n">
        <v>596</v>
      </c>
      <c r="L8" s="13">
        <f>K8/$D$8</f>
        <v/>
      </c>
      <c r="M8" s="8" t="inlineStr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0" t="n"/>
      <c r="H9" s="10" t="n">
        <v>166</v>
      </c>
      <c r="I9" s="11">
        <f>H9/$D$9</f>
        <v/>
      </c>
      <c r="J9" s="12">
        <f>K9-H9</f>
        <v/>
      </c>
      <c r="K9" s="12" t="n">
        <v>166</v>
      </c>
      <c r="L9" s="13">
        <f>K9/$D$9</f>
        <v/>
      </c>
      <c r="M9" s="8" t="inlineStr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0" t="n"/>
      <c r="H10" s="10" t="n">
        <v>748</v>
      </c>
      <c r="I10" s="11">
        <f>H10/$D$10</f>
        <v/>
      </c>
      <c r="J10" s="12">
        <f>K10-H10</f>
        <v/>
      </c>
      <c r="K10" s="12" t="n">
        <v>748</v>
      </c>
      <c r="L10" s="13">
        <f>K10/$D$10</f>
        <v/>
      </c>
      <c r="M10" s="8" t="inlineStr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/>
      <c r="F11" s="8" t="inlineStr">
        <is>
          <t>CPI MULIA SDN. BHD.</t>
        </is>
      </c>
      <c r="G11" s="10" t="n"/>
      <c r="H11" s="10" t="n"/>
      <c r="I11" s="11" t="n"/>
      <c r="J11" s="12" t="n"/>
      <c r="K11" s="12" t="n"/>
      <c r="L11" s="13" t="n"/>
      <c r="M11" s="8" t="inlineStr">
        <is>
          <t>Not launched yet.</t>
        </is>
      </c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/>
      <c r="F12" s="8" t="inlineStr">
        <is>
          <t>CPI PERMAS SDN. BHD.</t>
        </is>
      </c>
      <c r="G12" s="10" t="n"/>
      <c r="H12" s="10" t="n"/>
      <c r="I12" s="11" t="n"/>
      <c r="J12" s="12" t="n"/>
      <c r="K12" s="12" t="n"/>
      <c r="L12" s="13" t="n"/>
      <c r="M12" s="8" t="inlineStr">
        <is>
          <t>Not launched yet.</t>
        </is>
      </c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0" t="n"/>
      <c r="H13" s="10" t="n">
        <v>208</v>
      </c>
      <c r="I13" s="11">
        <f>H13/$D$13</f>
        <v/>
      </c>
      <c r="J13" s="12">
        <f>K13-H13</f>
        <v/>
      </c>
      <c r="K13" s="12" t="n">
        <v>214</v>
      </c>
      <c r="L13" s="13">
        <f>K13/$D$13</f>
        <v/>
      </c>
      <c r="M13" s="8" t="inlineStr">
        <is>
          <t>Latest sales - Block A: 116 units, Block B: 98 units</t>
        </is>
      </c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0" t="n"/>
      <c r="H14" s="10" t="n">
        <v>576</v>
      </c>
      <c r="I14" s="11">
        <f>H14/$D$14</f>
        <v/>
      </c>
      <c r="J14" s="12">
        <f>K14-H14</f>
        <v/>
      </c>
      <c r="K14" s="12" t="n">
        <v>576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0" t="n"/>
      <c r="H15" s="10" t="n">
        <v>11</v>
      </c>
      <c r="I15" s="11">
        <f>H15/$D$15</f>
        <v/>
      </c>
      <c r="J15" s="12">
        <f>K15-H15</f>
        <v/>
      </c>
      <c r="K15" s="12" t="n">
        <v>11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M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(ECOWORLD)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0" t="n"/>
      <c r="H5" s="10" t="n">
        <v>4</v>
      </c>
      <c r="I5" s="11">
        <f>H5/$D$5</f>
        <v/>
      </c>
      <c r="J5" s="12">
        <f>K5-H5</f>
        <v/>
      </c>
      <c r="K5" s="12" t="n">
        <v>4</v>
      </c>
      <c r="L5" s="13">
        <f>K5/$D$5</f>
        <v/>
      </c>
      <c r="M5" s="8" t="inlineStr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0" t="n"/>
      <c r="H6" s="10" t="n">
        <v>5</v>
      </c>
      <c r="I6" s="11">
        <f>H6/$D$6</f>
        <v/>
      </c>
      <c r="J6" s="12">
        <f>K6-H6</f>
        <v/>
      </c>
      <c r="K6" s="12" t="n">
        <v>5</v>
      </c>
      <c r="L6" s="13">
        <f>K6/$D$6</f>
        <v/>
      </c>
      <c r="M6" s="8" t="inlineStr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0" t="n"/>
      <c r="H7" s="10" t="n">
        <v>3</v>
      </c>
      <c r="I7" s="11">
        <f>H7/$D$7</f>
        <v/>
      </c>
      <c r="J7" s="12">
        <f>K7-H7</f>
        <v/>
      </c>
      <c r="K7" s="12" t="n">
        <v>3</v>
      </c>
      <c r="L7" s="13">
        <f>K7/$D$7</f>
        <v/>
      </c>
      <c r="M7" s="8" t="inlineStr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0" t="n"/>
      <c r="H8" s="10" t="n">
        <v>9</v>
      </c>
      <c r="I8" s="11">
        <f>H8/$D$8</f>
        <v/>
      </c>
      <c r="J8" s="12">
        <f>K8-H8</f>
        <v/>
      </c>
      <c r="K8" s="12" t="n">
        <v>9</v>
      </c>
      <c r="L8" s="13">
        <f>K8/$D$8</f>
        <v/>
      </c>
      <c r="M8" s="8" t="inlineStr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0" t="n"/>
      <c r="H9" s="10" t="n">
        <v>5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0" t="n"/>
      <c r="H10" s="10" t="n">
        <v>383</v>
      </c>
      <c r="I10" s="11">
        <f>H10/$D$10</f>
        <v/>
      </c>
      <c r="J10" s="12">
        <f>K10-H10</f>
        <v/>
      </c>
      <c r="K10" s="12" t="n">
        <v>383</v>
      </c>
      <c r="L10" s="13">
        <f>K10/$D$10</f>
        <v/>
      </c>
      <c r="M10" s="8" t="inlineStr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0" t="n"/>
      <c r="H11" s="10" t="n">
        <v>47</v>
      </c>
      <c r="I11" s="11">
        <f>H11/$D$11</f>
        <v/>
      </c>
      <c r="J11" s="12">
        <f>K11-H11</f>
        <v/>
      </c>
      <c r="K11" s="12" t="n">
        <v>47</v>
      </c>
      <c r="L11" s="13">
        <f>K11/$D$11</f>
        <v/>
      </c>
      <c r="M11" s="8" t="inlineStr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0" t="n"/>
      <c r="H12" s="10" t="n">
        <v>9</v>
      </c>
      <c r="I12" s="11">
        <f>H12/$D$12</f>
        <v/>
      </c>
      <c r="J12" s="12">
        <f>K12-H12</f>
        <v/>
      </c>
      <c r="K12" s="12" t="n">
        <v>9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0" t="n"/>
      <c r="H13" s="10" t="n">
        <v>14</v>
      </c>
      <c r="I13" s="11">
        <f>H13/$D$13</f>
        <v/>
      </c>
      <c r="J13" s="12">
        <f>K13-H13</f>
        <v/>
      </c>
      <c r="K13" s="12" t="n">
        <v>15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0" t="n"/>
      <c r="H14" s="10" t="n">
        <v>10</v>
      </c>
      <c r="I14" s="11">
        <f>H14/$D$14</f>
        <v/>
      </c>
      <c r="J14" s="12">
        <f>K14-H14</f>
        <v/>
      </c>
      <c r="K14" s="12" t="n">
        <v>10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0" t="n"/>
      <c r="H15" s="10" t="n">
        <v>336</v>
      </c>
      <c r="I15" s="11">
        <f>H15/$D$15</f>
        <v/>
      </c>
      <c r="J15" s="12">
        <f>K15-H15</f>
        <v/>
      </c>
      <c r="K15" s="12" t="n">
        <v>336</v>
      </c>
      <c r="L15" s="13">
        <f>K15/$D$15</f>
        <v/>
      </c>
      <c r="M15" s="8" t="inlineStr">
        <is>
          <t>Latest sales - Block R3: 336 units</t>
        </is>
      </c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0" t="n"/>
      <c r="H16" s="10" t="n">
        <v>124</v>
      </c>
      <c r="I16" s="11">
        <f>H16/$D$16</f>
        <v/>
      </c>
      <c r="J16" s="12">
        <f>K16-H16</f>
        <v/>
      </c>
      <c r="K16" s="12" t="n">
        <v>124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0" t="n"/>
      <c r="H17" s="10" t="n">
        <v>460</v>
      </c>
      <c r="I17" s="11">
        <f>H17/$D$17</f>
        <v/>
      </c>
      <c r="J17" s="12">
        <f>K17-H17</f>
        <v/>
      </c>
      <c r="K17" s="12" t="n">
        <v>460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0" t="n"/>
      <c r="H18" s="10" t="n">
        <v>460</v>
      </c>
      <c r="I18" s="11">
        <f>H18/$D$18</f>
        <v/>
      </c>
      <c r="J18" s="12">
        <f>K18-H18</f>
        <v/>
      </c>
      <c r="K18" s="12" t="n">
        <v>460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0" t="n"/>
      <c r="H19" s="10" t="n">
        <v>109</v>
      </c>
      <c r="I19" s="11">
        <f>H19/$D$19</f>
        <v/>
      </c>
      <c r="J19" s="12">
        <f>K19-H19</f>
        <v/>
      </c>
      <c r="K19" s="12" t="n">
        <v>109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0" t="n"/>
      <c r="H20" s="10" t="n">
        <v>28</v>
      </c>
      <c r="I20" s="11">
        <f>H20/$D$20</f>
        <v/>
      </c>
      <c r="J20" s="12">
        <f>K20-H20</f>
        <v/>
      </c>
      <c r="K20" s="12" t="n">
        <v>28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0" t="n"/>
      <c r="H21" s="10" t="n">
        <v>14</v>
      </c>
      <c r="I21" s="11">
        <f>H21/$D$21</f>
        <v/>
      </c>
      <c r="J21" s="12">
        <f>K21-H21</f>
        <v/>
      </c>
      <c r="K21" s="12" t="n">
        <v>15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0" t="n"/>
      <c r="H22" s="10" t="n">
        <v>11</v>
      </c>
      <c r="I22" s="11">
        <f>H22/$D$22</f>
        <v/>
      </c>
      <c r="J22" s="12">
        <f>K22-H22</f>
        <v/>
      </c>
      <c r="K22" s="12" t="n">
        <v>12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0" t="n"/>
      <c r="H23" s="10" t="n">
        <v>260</v>
      </c>
      <c r="I23" s="11">
        <f>H23/$D$23</f>
        <v/>
      </c>
      <c r="J23" s="12">
        <f>K23-H23</f>
        <v/>
      </c>
      <c r="K23" s="12" t="n">
        <v>262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0" t="n"/>
      <c r="H24" s="10" t="n">
        <v>0</v>
      </c>
      <c r="I24" s="11">
        <f>H24/$D$24</f>
        <v/>
      </c>
      <c r="J24" s="12">
        <f>K24-H24</f>
        <v/>
      </c>
      <c r="K24" s="12" t="n">
        <v>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0" t="n"/>
      <c r="H26" s="10" t="n">
        <v>500</v>
      </c>
      <c r="I26" s="11">
        <f>H26/$D$26</f>
        <v/>
      </c>
      <c r="J26" s="12">
        <f>K26-H26</f>
        <v/>
      </c>
      <c r="K26" s="12" t="n">
        <v>500</v>
      </c>
      <c r="L26" s="13">
        <f>K26/$D$26</f>
        <v/>
      </c>
      <c r="M26" s="8" t="inlineStr">
        <is>
          <t>Latest sales - Block H1: 500 units</t>
        </is>
      </c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0" t="n"/>
      <c r="H27" s="10" t="n">
        <v>269</v>
      </c>
      <c r="I27" s="11">
        <f>H27/$D$27</f>
        <v/>
      </c>
      <c r="J27" s="12">
        <f>K27-H27</f>
        <v/>
      </c>
      <c r="K27" s="12" t="n">
        <v>271</v>
      </c>
      <c r="L27" s="13">
        <f>K27/$D$27</f>
        <v/>
      </c>
      <c r="M27" s="8" t="inlineStr">
        <is>
          <t>Latest sales - Block M4: 83 units, Block M5: 188 units</t>
        </is>
      </c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0" t="n"/>
      <c r="H28" s="10" t="n">
        <v>411</v>
      </c>
      <c r="I28" s="11">
        <f>H28/$D$28</f>
        <v/>
      </c>
      <c r="J28" s="12">
        <f>K28-H28</f>
        <v/>
      </c>
      <c r="K28" s="12" t="n">
        <v>412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0" t="n"/>
      <c r="H29" s="10" t="n">
        <v>619</v>
      </c>
      <c r="I29" s="11">
        <f>H29/$D$29</f>
        <v/>
      </c>
      <c r="J29" s="12">
        <f>K29-H29</f>
        <v/>
      </c>
      <c r="K29" s="12" t="n">
        <v>624</v>
      </c>
      <c r="L29" s="13">
        <f>K29/$D$29</f>
        <v/>
      </c>
      <c r="M29" s="8" t="inlineStr">
        <is>
          <t>Latest sales - Block A: 394 units, Block B: 230 units</t>
        </is>
      </c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0" t="n"/>
      <c r="H30" s="10" t="n">
        <v>148</v>
      </c>
      <c r="I30" s="11">
        <f>H30/$D$30</f>
        <v/>
      </c>
      <c r="J30" s="12">
        <f>K30-H30</f>
        <v/>
      </c>
      <c r="K30" s="12" t="n">
        <v>152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0" t="n"/>
      <c r="H31" s="10" t="n">
        <v>155</v>
      </c>
      <c r="I31" s="11">
        <f>H31/$D$31</f>
        <v/>
      </c>
      <c r="J31" s="12">
        <f>K31-H31</f>
        <v/>
      </c>
      <c r="K31" s="12" t="n">
        <v>155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0" t="n"/>
      <c r="H32" s="10" t="n">
        <v>108</v>
      </c>
      <c r="I32" s="11">
        <f>H32/$D$32</f>
        <v/>
      </c>
      <c r="J32" s="12">
        <f>K32-H32</f>
        <v/>
      </c>
      <c r="K32" s="12" t="n">
        <v>108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0" t="n"/>
      <c r="H33" s="10" t="n">
        <v>178</v>
      </c>
      <c r="I33" s="11">
        <f>H33/$D$33</f>
        <v/>
      </c>
      <c r="J33" s="12">
        <f>K33-H33</f>
        <v/>
      </c>
      <c r="K33" s="12" t="n">
        <v>179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0" t="n"/>
      <c r="H34" s="10" t="n">
        <v>261</v>
      </c>
      <c r="I34" s="11">
        <f>H34/$D$34</f>
        <v/>
      </c>
      <c r="J34" s="12">
        <f>K34-H34</f>
        <v/>
      </c>
      <c r="K34" s="12" t="n">
        <v>261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0" t="n"/>
      <c r="H35" s="10" t="n">
        <v>55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0" t="n"/>
      <c r="H36" s="10" t="n">
        <v>167</v>
      </c>
      <c r="I36" s="11">
        <f>H36/$D$36</f>
        <v/>
      </c>
      <c r="J36" s="12">
        <f>K36-H36</f>
        <v/>
      </c>
      <c r="K36" s="12" t="n">
        <v>168</v>
      </c>
      <c r="L36" s="13">
        <f>K36/$D$36</f>
        <v/>
      </c>
      <c r="M36" s="8" t="inlineStr">
        <is>
          <t>Latest sales - Block IR: 168 units</t>
        </is>
      </c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0" t="n"/>
      <c r="H37" s="10" t="n">
        <v>48</v>
      </c>
      <c r="I37" s="11">
        <f>H37/$D$37</f>
        <v/>
      </c>
      <c r="J37" s="12">
        <f>K37-H37</f>
        <v/>
      </c>
      <c r="K37" s="12" t="n">
        <v>48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0" t="n"/>
      <c r="H38" s="10" t="n">
        <v>357</v>
      </c>
      <c r="I38" s="11">
        <f>H38/$D$38</f>
        <v/>
      </c>
      <c r="J38" s="12">
        <f>K38-H38</f>
        <v/>
      </c>
      <c r="K38" s="12" t="n">
        <v>358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0" t="n"/>
      <c r="H39" s="10" t="n">
        <v>364</v>
      </c>
      <c r="I39" s="11">
        <f>H39/$D$39</f>
        <v/>
      </c>
      <c r="J39" s="12">
        <f>K39-H39</f>
        <v/>
      </c>
      <c r="K39" s="12" t="n">
        <v>364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0" t="n"/>
      <c r="H40" s="10" t="n">
        <v>83</v>
      </c>
      <c r="I40" s="11">
        <f>H40/$D$40</f>
        <v/>
      </c>
      <c r="J40" s="12">
        <f>K40-H40</f>
        <v/>
      </c>
      <c r="K40" s="12" t="n">
        <v>83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0" t="n"/>
      <c r="H41" s="10" t="n">
        <v>114</v>
      </c>
      <c r="I41" s="11">
        <f>H41/$D$41</f>
        <v/>
      </c>
      <c r="J41" s="12">
        <f>K41-H41</f>
        <v/>
      </c>
      <c r="K41" s="12" t="n">
        <v>114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0" t="n"/>
      <c r="H42" s="10" t="n">
        <v>507</v>
      </c>
      <c r="I42" s="11">
        <f>H42/$D$42</f>
        <v/>
      </c>
      <c r="J42" s="12">
        <f>K42-H42</f>
        <v/>
      </c>
      <c r="K42" s="12" t="n">
        <v>507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0" t="n"/>
      <c r="H43" s="10" t="n">
        <v>164</v>
      </c>
      <c r="I43" s="11">
        <f>H43/$D$43</f>
        <v/>
      </c>
      <c r="J43" s="12">
        <f>K43-H43</f>
        <v/>
      </c>
      <c r="K43" s="12" t="n">
        <v>164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0" t="n"/>
      <c r="H44" s="10" t="n">
        <v>50</v>
      </c>
      <c r="I44" s="11">
        <f>H44/$D$44</f>
        <v/>
      </c>
      <c r="J44" s="12">
        <f>K44-H44</f>
        <v/>
      </c>
      <c r="K44" s="12" t="n">
        <v>50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0" t="n"/>
      <c r="H45" s="10" t="n">
        <v>48</v>
      </c>
      <c r="I45" s="11">
        <f>H45/$D$45</f>
        <v/>
      </c>
      <c r="J45" s="12">
        <f>K45-H45</f>
        <v/>
      </c>
      <c r="K45" s="12" t="n">
        <v>48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0" t="n"/>
      <c r="H46" s="10" t="n">
        <v>48</v>
      </c>
      <c r="I46" s="11">
        <f>H46/$D$46</f>
        <v/>
      </c>
      <c r="J46" s="12">
        <f>K46-H46</f>
        <v/>
      </c>
      <c r="K46" s="12" t="n">
        <v>48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0" t="n"/>
      <c r="H47" s="10" t="n">
        <v>80</v>
      </c>
      <c r="I47" s="11">
        <f>H47/$D$47</f>
        <v/>
      </c>
      <c r="J47" s="12">
        <f>K47-H47</f>
        <v/>
      </c>
      <c r="K47" s="12" t="n">
        <v>80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0" t="n"/>
      <c r="H48" s="10" t="n">
        <v>100</v>
      </c>
      <c r="I48" s="11">
        <f>H48/$D$48</f>
        <v/>
      </c>
      <c r="J48" s="12">
        <f>K48-H48</f>
        <v/>
      </c>
      <c r="K48" s="12" t="n">
        <v>100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0" t="n"/>
      <c r="H49" s="10" t="n">
        <v>276</v>
      </c>
      <c r="I49" s="11">
        <f>H49/$D$49</f>
        <v/>
      </c>
      <c r="J49" s="12">
        <f>K49-H49</f>
        <v/>
      </c>
      <c r="K49" s="12" t="n">
        <v>276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0" t="n"/>
      <c r="H50" s="10" t="n">
        <v>262</v>
      </c>
      <c r="I50" s="11">
        <f>H50/$D$50</f>
        <v/>
      </c>
      <c r="J50" s="12">
        <f>K50-H50</f>
        <v/>
      </c>
      <c r="K50" s="12" t="n">
        <v>262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0" t="n"/>
      <c r="H51" s="10" t="n">
        <v>382</v>
      </c>
      <c r="I51" s="11">
        <f>H51/$D$51</f>
        <v/>
      </c>
      <c r="J51" s="12">
        <f>K51-H51</f>
        <v/>
      </c>
      <c r="K51" s="12" t="n">
        <v>382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0" t="n"/>
      <c r="H52" s="10" t="n">
        <v>82</v>
      </c>
      <c r="I52" s="11">
        <f>H52/$D$52</f>
        <v/>
      </c>
      <c r="J52" s="12">
        <f>K52-H52</f>
        <v/>
      </c>
      <c r="K52" s="12" t="n">
        <v>82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0" t="n"/>
      <c r="H53" s="10" t="n">
        <v>70</v>
      </c>
      <c r="I53" s="11">
        <f>H53/$D$53</f>
        <v/>
      </c>
      <c r="J53" s="12">
        <f>K53-H53</f>
        <v/>
      </c>
      <c r="K53" s="12" t="n">
        <v>70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0" t="n"/>
      <c r="H54" s="10" t="n">
        <v>76</v>
      </c>
      <c r="I54" s="11">
        <f>H54/$D$54</f>
        <v/>
      </c>
      <c r="J54" s="12">
        <f>K54-H54</f>
        <v/>
      </c>
      <c r="K54" s="12" t="n">
        <v>76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0" t="n"/>
      <c r="H55" s="10" t="n">
        <v>1</v>
      </c>
      <c r="I55" s="11">
        <f>H55/$D$55</f>
        <v/>
      </c>
      <c r="J55" s="12">
        <f>K55-H55</f>
        <v/>
      </c>
      <c r="K55" s="12" t="n">
        <v>0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0" t="n"/>
      <c r="H56" s="10" t="n">
        <v>2</v>
      </c>
      <c r="I56" s="11">
        <f>H56/$D$56</f>
        <v/>
      </c>
      <c r="J56" s="12">
        <f>K56-H56</f>
        <v/>
      </c>
      <c r="K56" s="12" t="n">
        <v>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0" t="n"/>
      <c r="H57" s="10" t="n">
        <v>337</v>
      </c>
      <c r="I57" s="11">
        <f>H57/$D$57</f>
        <v/>
      </c>
      <c r="J57" s="12">
        <f>K57-H57</f>
        <v/>
      </c>
      <c r="K57" s="12" t="n">
        <v>337</v>
      </c>
      <c r="L57" s="13">
        <f>K57/$D$57</f>
        <v/>
      </c>
      <c r="M57" s="8" t="inlineStr">
        <is>
          <t>Latest sales - Block J4: 62 units, Block J5: 29 units, Block K: 246 units</t>
        </is>
      </c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0" t="n"/>
      <c r="H58" s="10" t="n">
        <v>1728</v>
      </c>
      <c r="I58" s="11">
        <f>H58/$D$58</f>
        <v/>
      </c>
      <c r="J58" s="12">
        <f>K58-H58</f>
        <v/>
      </c>
      <c r="K58" s="12" t="n">
        <v>1728</v>
      </c>
      <c r="L58" s="13">
        <f>K58/$D$58</f>
        <v/>
      </c>
      <c r="M58" s="8" t="inlineStr">
        <is>
          <t>Latest sales - Block A: 704 units, Block B: 1024 units</t>
        </is>
      </c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0" t="n"/>
      <c r="H59" s="10" t="n">
        <v>343</v>
      </c>
      <c r="I59" s="11">
        <f>H59/$D$59</f>
        <v/>
      </c>
      <c r="J59" s="12">
        <f>K59-H59</f>
        <v/>
      </c>
      <c r="K59" s="12" t="n">
        <v>343</v>
      </c>
      <c r="L59" s="13">
        <f>K59/$D$59</f>
        <v/>
      </c>
      <c r="M59" s="8" t="inlineStr">
        <is>
          <t>Latest sales - Block N: 36 units, Block P: 90 units, Block Q: 34 units</t>
        </is>
      </c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0" t="n"/>
      <c r="H60" s="10" t="n">
        <v>50</v>
      </c>
      <c r="I60" s="11">
        <f>H60/$D$60</f>
        <v/>
      </c>
      <c r="J60" s="12">
        <f>K60-H60</f>
        <v/>
      </c>
      <c r="K60" s="12" t="n">
        <v>50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0" t="n"/>
      <c r="H61" s="10" t="n">
        <v>1302</v>
      </c>
      <c r="I61" s="11">
        <f>H61/$D$61</f>
        <v/>
      </c>
      <c r="J61" s="12">
        <f>K61-H61</f>
        <v/>
      </c>
      <c r="K61" s="12" t="n">
        <v>1302</v>
      </c>
      <c r="L61" s="13">
        <f>K61/$D$61</f>
        <v/>
      </c>
      <c r="M61" s="8" t="inlineStr">
        <is>
          <t>Latest sales - Block DA: 651 units, Block DB: 651 units</t>
        </is>
      </c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0" t="n"/>
      <c r="H62" s="10" t="n">
        <v>50</v>
      </c>
      <c r="I62" s="11">
        <f>H62/$D$62</f>
        <v/>
      </c>
      <c r="J62" s="12">
        <f>K62-H62</f>
        <v/>
      </c>
      <c r="K62" s="12" t="n">
        <v>50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0" t="n"/>
      <c r="H63" s="10" t="n">
        <v>690</v>
      </c>
      <c r="I63" s="11">
        <f>H63/$D$63</f>
        <v/>
      </c>
      <c r="J63" s="12">
        <f>K63-H63</f>
        <v/>
      </c>
      <c r="K63" s="12" t="n">
        <v>693</v>
      </c>
      <c r="L63" s="13">
        <f>K63/$D$63</f>
        <v/>
      </c>
      <c r="M63" s="8" t="inlineStr">
        <is>
          <t>Latest sales - Block A: 196 units, Block B: 187 units, Block C: 208 units, Block D: 79 units, Block E: 23 units</t>
        </is>
      </c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0" t="n"/>
      <c r="H64" s="10" t="n">
        <v>273</v>
      </c>
      <c r="I64" s="11">
        <f>H64/$D$64</f>
        <v/>
      </c>
      <c r="J64" s="12">
        <f>K64-H64</f>
        <v/>
      </c>
      <c r="K64" s="12" t="n">
        <v>273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0" t="n"/>
      <c r="H65" s="10" t="n">
        <v>626</v>
      </c>
      <c r="I65" s="11">
        <f>H65/$D$65</f>
        <v/>
      </c>
      <c r="J65" s="12">
        <f>K65-H65</f>
        <v/>
      </c>
      <c r="K65" s="12" t="n">
        <v>626</v>
      </c>
      <c r="L65" s="13">
        <f>K65/$D$65</f>
        <v/>
      </c>
      <c r="M65" s="8" t="inlineStr">
        <is>
          <t>Latest sales - Block T1: 372 units, Block T2: 254 units</t>
        </is>
      </c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0" t="n"/>
      <c r="H66" s="10" t="n">
        <v>300</v>
      </c>
      <c r="I66" s="11">
        <f>H66/$D$66</f>
        <v/>
      </c>
      <c r="J66" s="12">
        <f>K66-H66</f>
        <v/>
      </c>
      <c r="K66" s="12" t="n">
        <v>300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0" t="n"/>
      <c r="H67" s="10" t="n">
        <v>112</v>
      </c>
      <c r="I67" s="11">
        <f>H67/$D$67</f>
        <v/>
      </c>
      <c r="J67" s="12">
        <f>K67-H67</f>
        <v/>
      </c>
      <c r="K67" s="12" t="n">
        <v>112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0" t="n"/>
      <c r="H68" s="10" t="n">
        <v>204</v>
      </c>
      <c r="I68" s="11">
        <f>H68/$D$68</f>
        <v/>
      </c>
      <c r="J68" s="12">
        <f>K68-H68</f>
        <v/>
      </c>
      <c r="K68" s="12" t="n">
        <v>204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0" t="n"/>
      <c r="H69" s="10" t="n">
        <v>259</v>
      </c>
      <c r="I69" s="11">
        <f>H69/$D$69</f>
        <v/>
      </c>
      <c r="J69" s="12">
        <f>K69-H69</f>
        <v/>
      </c>
      <c r="K69" s="12" t="n">
        <v>259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0" t="n"/>
      <c r="H70" s="10" t="n">
        <v>308</v>
      </c>
      <c r="I70" s="11">
        <f>H70/$D$70</f>
        <v/>
      </c>
      <c r="J70" s="12">
        <f>K70-H70</f>
        <v/>
      </c>
      <c r="K70" s="12" t="n">
        <v>308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0" t="n"/>
      <c r="H71" s="10" t="n">
        <v>249</v>
      </c>
      <c r="I71" s="11">
        <f>H71/$D$71</f>
        <v/>
      </c>
      <c r="J71" s="12">
        <f>K71-H71</f>
        <v/>
      </c>
      <c r="K71" s="12" t="n">
        <v>249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0" t="n"/>
      <c r="H72" s="10" t="n">
        <v>264</v>
      </c>
      <c r="I72" s="11">
        <f>H72/$D$72</f>
        <v/>
      </c>
      <c r="J72" s="12">
        <f>K72-H72</f>
        <v/>
      </c>
      <c r="K72" s="12" t="n">
        <v>264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0" t="n"/>
      <c r="H73" s="10" t="n">
        <v>412</v>
      </c>
      <c r="I73" s="11">
        <f>H73/$D$73</f>
        <v/>
      </c>
      <c r="J73" s="12">
        <f>K73-H73</f>
        <v/>
      </c>
      <c r="K73" s="12" t="n">
        <v>412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0" t="n"/>
      <c r="H74" s="10" t="n">
        <v>0</v>
      </c>
      <c r="I74" s="11">
        <f>H74/$D$74</f>
        <v/>
      </c>
      <c r="J74" s="12">
        <f>K74-H74</f>
        <v/>
      </c>
      <c r="K74" s="12" t="n">
        <v>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0" t="n"/>
      <c r="H75" s="10" t="n">
        <v>224</v>
      </c>
      <c r="I75" s="11">
        <f>H75/$D$75</f>
        <v/>
      </c>
      <c r="J75" s="12">
        <f>K75-H75</f>
        <v/>
      </c>
      <c r="K75" s="12" t="n">
        <v>224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0" t="n"/>
      <c r="H76" s="10" t="n">
        <v>164</v>
      </c>
      <c r="I76" s="11">
        <f>H76/$D$76</f>
        <v/>
      </c>
      <c r="J76" s="12">
        <f>K76-H76</f>
        <v/>
      </c>
      <c r="K76" s="12" t="n">
        <v>164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0" t="n"/>
      <c r="H77" s="10" t="n">
        <v>180</v>
      </c>
      <c r="I77" s="11">
        <f>H77/$D$77</f>
        <v/>
      </c>
      <c r="J77" s="12">
        <f>K77-H77</f>
        <v/>
      </c>
      <c r="K77" s="12" t="n">
        <v>180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0" t="n"/>
      <c r="H78" s="10" t="n">
        <v>235</v>
      </c>
      <c r="I78" s="11">
        <f>H78/$D$78</f>
        <v/>
      </c>
      <c r="J78" s="12">
        <f>K78-H78</f>
        <v/>
      </c>
      <c r="K78" s="12" t="n">
        <v>235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0" t="n"/>
      <c r="H79" s="10" t="n">
        <v>114</v>
      </c>
      <c r="I79" s="11">
        <f>H79/$D$79</f>
        <v/>
      </c>
      <c r="J79" s="12">
        <f>K79-H79</f>
        <v/>
      </c>
      <c r="K79" s="12" t="n">
        <v>114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0" t="n"/>
      <c r="H80" s="10" t="n">
        <v>357</v>
      </c>
      <c r="I80" s="11">
        <f>H80/$D$80</f>
        <v/>
      </c>
      <c r="J80" s="12">
        <f>K80-H80</f>
        <v/>
      </c>
      <c r="K80" s="12" t="n">
        <v>363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31135-2,31135-3,31135-4,31135-5,31135-6,31135-7</t>
        </is>
      </c>
      <c r="F81" s="8" t="inlineStr">
        <is>
          <t>ECO BOTANIC 3 SDN. BHD.</t>
        </is>
      </c>
      <c r="G81" s="10" t="n"/>
      <c r="H81" s="10" t="n">
        <v>490</v>
      </c>
      <c r="I81" s="11">
        <f>H81/$D$81</f>
        <v/>
      </c>
      <c r="J81" s="12">
        <f>K81-H81</f>
        <v/>
      </c>
      <c r="K81" s="12" t="n">
        <v>491</v>
      </c>
      <c r="L81" s="13">
        <f>K81/$D$81</f>
        <v/>
      </c>
      <c r="M81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P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(EXSIM)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0" t="n"/>
      <c r="H5" s="10" t="n">
        <v>268</v>
      </c>
      <c r="I5" s="11">
        <f>H5/$D$5</f>
        <v/>
      </c>
      <c r="J5" s="10">
        <f>K5-H5</f>
        <v/>
      </c>
      <c r="K5" s="10" t="n">
        <v>268</v>
      </c>
      <c r="L5" s="11">
        <f>K5/$D$5</f>
        <v/>
      </c>
      <c r="M5" s="12">
        <f>N5-K5</f>
        <v/>
      </c>
      <c r="N5" s="12" t="n">
        <v>268</v>
      </c>
      <c r="O5" s="13">
        <f>N5/$D$5</f>
        <v/>
      </c>
      <c r="P5" s="8" t="inlineStr">
        <is>
          <t>Latest sales - Block B: 268 units</t>
        </is>
      </c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0" t="n"/>
      <c r="H6" s="10" t="n">
        <v>593</v>
      </c>
      <c r="I6" s="11">
        <f>H6/$D$6</f>
        <v/>
      </c>
      <c r="J6" s="10">
        <f>K6-H6</f>
        <v/>
      </c>
      <c r="K6" s="10" t="n">
        <v>593</v>
      </c>
      <c r="L6" s="11">
        <f>K6/$D$6</f>
        <v/>
      </c>
      <c r="M6" s="12">
        <f>N6-K6</f>
        <v/>
      </c>
      <c r="N6" s="12" t="n">
        <v>593</v>
      </c>
      <c r="O6" s="13">
        <f>N6/$D$6</f>
        <v/>
      </c>
      <c r="P6" s="8" t="inlineStr">
        <is>
          <t>Latest sales - Block A: 593 units</t>
        </is>
      </c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0" t="n"/>
      <c r="H7" s="10" t="n"/>
      <c r="I7" s="11" t="n"/>
      <c r="J7" s="10" t="n"/>
      <c r="K7" s="10" t="n">
        <v>100</v>
      </c>
      <c r="L7" s="11">
        <f>K7/$D$7</f>
        <v/>
      </c>
      <c r="M7" s="12">
        <f>N7-K7</f>
        <v/>
      </c>
      <c r="N7" s="12" t="n">
        <v>143</v>
      </c>
      <c r="O7" s="13">
        <f>N7/$D$7</f>
        <v/>
      </c>
      <c r="P7" s="8" t="inlineStr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0" t="n"/>
      <c r="H8" s="10" t="n"/>
      <c r="I8" s="11" t="n"/>
      <c r="J8" s="10" t="n"/>
      <c r="K8" s="10" t="n">
        <v>1</v>
      </c>
      <c r="L8" s="11">
        <f>K8/$D$8</f>
        <v/>
      </c>
      <c r="M8" s="12">
        <f>N8-K8</f>
        <v/>
      </c>
      <c r="N8" s="12" t="n">
        <v>1</v>
      </c>
      <c r="O8" s="13">
        <f>N8/$D$8</f>
        <v/>
      </c>
      <c r="P8" s="8" t="inlineStr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0" t="n"/>
      <c r="H9" s="10" t="n">
        <v>767</v>
      </c>
      <c r="I9" s="11">
        <f>H9/$D$9</f>
        <v/>
      </c>
      <c r="J9" s="10">
        <f>K9-H9</f>
        <v/>
      </c>
      <c r="K9" s="10" t="n">
        <v>767</v>
      </c>
      <c r="L9" s="11">
        <f>K9/$D$9</f>
        <v/>
      </c>
      <c r="M9" s="12">
        <f>N9-K9</f>
        <v/>
      </c>
      <c r="N9" s="12" t="n">
        <v>767</v>
      </c>
      <c r="O9" s="13">
        <f>N9/$D$9</f>
        <v/>
      </c>
      <c r="P9" s="8" t="inlineStr">
        <is>
          <t>Latest sales - Block B: 767 units</t>
        </is>
      </c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0" t="n"/>
      <c r="H10" s="10" t="n">
        <v>664</v>
      </c>
      <c r="I10" s="11">
        <f>H10/$D$10</f>
        <v/>
      </c>
      <c r="J10" s="10">
        <f>K10-H10</f>
        <v/>
      </c>
      <c r="K10" s="10" t="n">
        <v>664</v>
      </c>
      <c r="L10" s="11">
        <f>K10/$D$10</f>
        <v/>
      </c>
      <c r="M10" s="12">
        <f>N10-K10</f>
        <v/>
      </c>
      <c r="N10" s="12" t="n">
        <v>664</v>
      </c>
      <c r="O10" s="13">
        <f>N10/$D$10</f>
        <v/>
      </c>
      <c r="P10" s="8" t="inlineStr">
        <is>
          <t>Latest sales - Block C: 664 units</t>
        </is>
      </c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0" t="n"/>
      <c r="H11" s="10" t="n">
        <v>98</v>
      </c>
      <c r="I11" s="11">
        <f>H11/$D$11</f>
        <v/>
      </c>
      <c r="J11" s="10">
        <f>K11-H11</f>
        <v/>
      </c>
      <c r="K11" s="10" t="n">
        <v>98</v>
      </c>
      <c r="L11" s="11">
        <f>K11/$D$11</f>
        <v/>
      </c>
      <c r="M11" s="12">
        <f>N11-K11</f>
        <v/>
      </c>
      <c r="N11" s="12" t="n">
        <v>98</v>
      </c>
      <c r="O11" s="13">
        <f>N11/$D$11</f>
        <v/>
      </c>
      <c r="P11" s="8" t="inlineStr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0" t="n"/>
      <c r="H12" s="10" t="n">
        <v>319</v>
      </c>
      <c r="I12" s="11">
        <f>H12/$D$12</f>
        <v/>
      </c>
      <c r="J12" s="10">
        <f>K12-H12</f>
        <v/>
      </c>
      <c r="K12" s="10" t="n">
        <v>319</v>
      </c>
      <c r="L12" s="11">
        <f>K12/$D$12</f>
        <v/>
      </c>
      <c r="M12" s="12">
        <f>N12-K12</f>
        <v/>
      </c>
      <c r="N12" s="12" t="n">
        <v>319</v>
      </c>
      <c r="O12" s="13">
        <f>N12/$D$12</f>
        <v/>
      </c>
      <c r="P12" s="8" t="inlineStr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0" t="n"/>
      <c r="H13" s="10" t="n">
        <v>126</v>
      </c>
      <c r="I13" s="11">
        <f>H13/$D$13</f>
        <v/>
      </c>
      <c r="J13" s="10">
        <f>K13-H13</f>
        <v/>
      </c>
      <c r="K13" s="10" t="n">
        <v>126</v>
      </c>
      <c r="L13" s="11">
        <f>K13/$D$13</f>
        <v/>
      </c>
      <c r="M13" s="12">
        <f>N13-K13</f>
        <v/>
      </c>
      <c r="N13" s="12" t="n">
        <v>126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0" t="n"/>
      <c r="H14" s="10" t="n">
        <v>602</v>
      </c>
      <c r="I14" s="11">
        <f>H14/$D$14</f>
        <v/>
      </c>
      <c r="J14" s="10">
        <f>K14-H14</f>
        <v/>
      </c>
      <c r="K14" s="10" t="n">
        <v>602</v>
      </c>
      <c r="L14" s="11">
        <f>K14/$D$14</f>
        <v/>
      </c>
      <c r="M14" s="12">
        <f>N14-K14</f>
        <v/>
      </c>
      <c r="N14" s="12" t="n">
        <v>602</v>
      </c>
      <c r="O14" s="13">
        <f>N14/$D$14</f>
        <v/>
      </c>
      <c r="P14" s="8" t="inlineStr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0" t="n"/>
      <c r="H15" s="10" t="n">
        <v>625</v>
      </c>
      <c r="I15" s="11">
        <f>H15/$D$15</f>
        <v/>
      </c>
      <c r="J15" s="10">
        <f>K15-H15</f>
        <v/>
      </c>
      <c r="K15" s="10" t="n">
        <v>634</v>
      </c>
      <c r="L15" s="11">
        <f>K15/$D$15</f>
        <v/>
      </c>
      <c r="M15" s="12">
        <f>N15-K15</f>
        <v/>
      </c>
      <c r="N15" s="12" t="n">
        <v>638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0" t="n"/>
      <c r="H16" s="10" t="n">
        <v>317</v>
      </c>
      <c r="I16" s="11">
        <f>H16/$D$16</f>
        <v/>
      </c>
      <c r="J16" s="10">
        <f>K16-H16</f>
        <v/>
      </c>
      <c r="K16" s="10" t="n">
        <v>319</v>
      </c>
      <c r="L16" s="11">
        <f>K16/$D$16</f>
        <v/>
      </c>
      <c r="M16" s="12">
        <f>N16-K16</f>
        <v/>
      </c>
      <c r="N16" s="12" t="n">
        <v>320</v>
      </c>
      <c r="O16" s="13">
        <f>N16/$D$16</f>
        <v/>
      </c>
      <c r="P16" s="8" t="inlineStr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0" t="n"/>
      <c r="H17" s="10" t="n">
        <v>181</v>
      </c>
      <c r="I17" s="11">
        <f>H17/$D$17</f>
        <v/>
      </c>
      <c r="J17" s="10">
        <f>K17-H17</f>
        <v/>
      </c>
      <c r="K17" s="10" t="n">
        <v>203</v>
      </c>
      <c r="L17" s="11">
        <f>K17/$D$17</f>
        <v/>
      </c>
      <c r="M17" s="12">
        <f>N17-K17</f>
        <v/>
      </c>
      <c r="N17" s="12" t="n">
        <v>207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0" t="n"/>
      <c r="H18" s="10" t="n">
        <v>845</v>
      </c>
      <c r="I18" s="11">
        <f>H18/$D$18</f>
        <v/>
      </c>
      <c r="J18" s="10">
        <f>K18-H18</f>
        <v/>
      </c>
      <c r="K18" s="10" t="n">
        <v>844</v>
      </c>
      <c r="L18" s="11">
        <f>K18/$D$18</f>
        <v/>
      </c>
      <c r="M18" s="12">
        <f>N18-K18</f>
        <v/>
      </c>
      <c r="N18" s="12" t="n">
        <v>845</v>
      </c>
      <c r="O18" s="13">
        <f>N18/$D$18</f>
        <v/>
      </c>
      <c r="P18" s="8" t="inlineStr">
        <is>
          <t>-</t>
        </is>
      </c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0" t="n"/>
      <c r="H19" s="10" t="n">
        <v>339</v>
      </c>
      <c r="I19" s="11">
        <f>H19/$D$19</f>
        <v/>
      </c>
      <c r="J19" s="10">
        <f>K19-H19</f>
        <v/>
      </c>
      <c r="K19" s="10" t="n">
        <v>339</v>
      </c>
      <c r="L19" s="11">
        <f>K19/$D$19</f>
        <v/>
      </c>
      <c r="M19" s="12">
        <f>N19-K19</f>
        <v/>
      </c>
      <c r="N19" s="12" t="n">
        <v>339</v>
      </c>
      <c r="O19" s="13">
        <f>N19/$D$19</f>
        <v/>
      </c>
      <c r="P19" s="8" t="inlineStr">
        <is>
          <t>Latest sales - Block A: 312 units, Block B: 27 units</t>
        </is>
      </c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0" t="n"/>
      <c r="H20" s="10" t="n">
        <v>1552</v>
      </c>
      <c r="I20" s="11">
        <f>H20/$D$20</f>
        <v/>
      </c>
      <c r="J20" s="10">
        <f>K20-H20</f>
        <v/>
      </c>
      <c r="K20" s="10" t="n">
        <v>1552</v>
      </c>
      <c r="L20" s="11">
        <f>K20/$D$20</f>
        <v/>
      </c>
      <c r="M20" s="12">
        <f>N20-K20</f>
        <v/>
      </c>
      <c r="N20" s="12" t="n">
        <v>1552</v>
      </c>
      <c r="O20" s="13">
        <f>N20/$D$20</f>
        <v/>
      </c>
      <c r="P20" s="8" t="inlineStr">
        <is>
          <t>Latest sales - Block A: 457 units, Block B: 505 units, Block C: 590 units</t>
        </is>
      </c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0" t="n"/>
      <c r="H21" s="10" t="n">
        <v>553</v>
      </c>
      <c r="I21" s="11">
        <f>H21/$D$21</f>
        <v/>
      </c>
      <c r="J21" s="10">
        <f>K21-H21</f>
        <v/>
      </c>
      <c r="K21" s="10" t="n">
        <v>557</v>
      </c>
      <c r="L21" s="11">
        <f>K21/$D$21</f>
        <v/>
      </c>
      <c r="M21" s="12">
        <f>N21-K21</f>
        <v/>
      </c>
      <c r="N21" s="12" t="n">
        <v>562</v>
      </c>
      <c r="O21" s="13">
        <f>N21/$D$21</f>
        <v/>
      </c>
      <c r="P21" s="8" t="inlineStr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0" t="n"/>
      <c r="H22" s="10" t="n">
        <v>438</v>
      </c>
      <c r="I22" s="11">
        <f>H22/$D$22</f>
        <v/>
      </c>
      <c r="J22" s="10">
        <f>K22-H22</f>
        <v/>
      </c>
      <c r="K22" s="10" t="n">
        <v>441</v>
      </c>
      <c r="L22" s="11">
        <f>K22/$D$22</f>
        <v/>
      </c>
      <c r="M22" s="12">
        <f>N22-K22</f>
        <v/>
      </c>
      <c r="N22" s="12" t="n">
        <v>443</v>
      </c>
      <c r="O22" s="13">
        <f>N22/$D$22</f>
        <v/>
      </c>
      <c r="P22" s="8" t="inlineStr">
        <is>
          <t>Latest sales - Block A: 197 units, Block B: 246 units</t>
        </is>
      </c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0" t="n"/>
      <c r="H23" s="10" t="n">
        <v>658</v>
      </c>
      <c r="I23" s="11">
        <f>H23/$D$23</f>
        <v/>
      </c>
      <c r="J23" s="10">
        <f>K23-H23</f>
        <v/>
      </c>
      <c r="K23" s="10" t="n">
        <v>658</v>
      </c>
      <c r="L23" s="11">
        <f>K23/$D$23</f>
        <v/>
      </c>
      <c r="M23" s="12">
        <f>N23-K23</f>
        <v/>
      </c>
      <c r="N23" s="12" t="n">
        <v>660</v>
      </c>
      <c r="O23" s="13">
        <f>N23/$D$23</f>
        <v/>
      </c>
      <c r="P23" s="8" t="inlineStr">
        <is>
          <t>Latest sales - Block A: 358 units, Block B: 302 units</t>
        </is>
      </c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0" t="n"/>
      <c r="H24" s="10" t="n">
        <v>507</v>
      </c>
      <c r="I24" s="11">
        <f>H24/$D$24</f>
        <v/>
      </c>
      <c r="J24" s="10">
        <f>K24-H24</f>
        <v/>
      </c>
      <c r="K24" s="10" t="n">
        <v>507</v>
      </c>
      <c r="L24" s="11">
        <f>K24/$D$24</f>
        <v/>
      </c>
      <c r="M24" s="12">
        <f>N24-K24</f>
        <v/>
      </c>
      <c r="N24" s="12" t="n">
        <v>507</v>
      </c>
      <c r="O24" s="13">
        <f>N24/$D$24</f>
        <v/>
      </c>
      <c r="P24" s="8" t="inlineStr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31100-1,31100-2,31100-3,31100-4</t>
        </is>
      </c>
      <c r="F25" s="8" t="inlineStr"/>
      <c r="G25" s="10" t="n"/>
      <c r="H25" s="10" t="n">
        <v>1503</v>
      </c>
      <c r="I25" s="11">
        <f>H25/$D$25</f>
        <v/>
      </c>
      <c r="J25" s="10">
        <f>K25-H25</f>
        <v/>
      </c>
      <c r="K25" s="10" t="n">
        <v>1520</v>
      </c>
      <c r="L25" s="11">
        <f>K25/$D$25</f>
        <v/>
      </c>
      <c r="M25" s="12">
        <f>N25-K25</f>
        <v/>
      </c>
      <c r="N25" s="12" t="n">
        <v>1542</v>
      </c>
      <c r="O25" s="13">
        <f>N25/$D$25</f>
        <v/>
      </c>
      <c r="P25" s="8" t="inlineStr">
        <is>
          <t>Latest sales - Block A: 520 units, Block B: 535 units, Block D: 487 units</t>
        </is>
      </c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0" t="n"/>
      <c r="H26" s="10" t="n">
        <v>424</v>
      </c>
      <c r="I26" s="11">
        <f>H26/$D$26</f>
        <v/>
      </c>
      <c r="J26" s="10">
        <f>K26-H26</f>
        <v/>
      </c>
      <c r="K26" s="10" t="n">
        <v>424</v>
      </c>
      <c r="L26" s="11">
        <f>K26/$D$26</f>
        <v/>
      </c>
      <c r="M26" s="12">
        <f>N26-K26</f>
        <v/>
      </c>
      <c r="N26" s="12" t="n">
        <v>424</v>
      </c>
      <c r="O26" s="13">
        <f>N26/$D$26</f>
        <v/>
      </c>
      <c r="P26" s="8" t="inlineStr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0" t="n"/>
      <c r="H27" s="10" t="n"/>
      <c r="I27" s="11" t="n"/>
      <c r="J27" s="10" t="n"/>
      <c r="K27" s="10" t="n"/>
      <c r="L27" s="11" t="n"/>
      <c r="M27" s="12" t="n"/>
      <c r="N27" s="12" t="n">
        <v>9</v>
      </c>
      <c r="O27" s="13">
        <f>N27/$D$27</f>
        <v/>
      </c>
      <c r="P27" s="8" t="inlineStr">
        <is>
          <t>Latest sales - Block A: 1 units, Block B: 8 units</t>
        </is>
      </c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0" t="n"/>
      <c r="H28" s="10" t="n"/>
      <c r="I28" s="11" t="n"/>
      <c r="J28" s="10" t="n"/>
      <c r="K28" s="10" t="n"/>
      <c r="L28" s="11" t="n"/>
      <c r="M28" s="12" t="n"/>
      <c r="N28" s="12" t="n">
        <v>32</v>
      </c>
      <c r="O28" s="13">
        <f>N28/$D$28</f>
        <v/>
      </c>
      <c r="P28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(KSL)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0" t="n"/>
      <c r="H5" s="10" t="n">
        <v>36</v>
      </c>
      <c r="I5" s="11">
        <f>H5/$D$5</f>
        <v/>
      </c>
      <c r="J5" s="12">
        <f>K5-H5</f>
        <v/>
      </c>
      <c r="K5" s="12" t="n">
        <v>36</v>
      </c>
      <c r="L5" s="13">
        <f>K5/$D$5</f>
        <v/>
      </c>
      <c r="M5" s="8" t="inlineStr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0" t="n"/>
      <c r="H6" s="10" t="n">
        <v>148</v>
      </c>
      <c r="I6" s="11">
        <f>H6/$D$6</f>
        <v/>
      </c>
      <c r="J6" s="12">
        <f>K6-H6</f>
        <v/>
      </c>
      <c r="K6" s="12" t="n">
        <v>148</v>
      </c>
      <c r="L6" s="13">
        <f>K6/$D$6</f>
        <v/>
      </c>
      <c r="M6" s="8" t="inlineStr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0" t="n"/>
      <c r="H7" s="10" t="n">
        <v>148</v>
      </c>
      <c r="I7" s="11">
        <f>H7/$D$7</f>
        <v/>
      </c>
      <c r="J7" s="12">
        <f>K7-H7</f>
        <v/>
      </c>
      <c r="K7" s="12" t="n">
        <v>148</v>
      </c>
      <c r="L7" s="13">
        <f>K7/$D$7</f>
        <v/>
      </c>
      <c r="M7" s="8" t="inlineStr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0" t="n"/>
      <c r="H8" s="10" t="n">
        <v>167</v>
      </c>
      <c r="I8" s="11">
        <f>H8/$D$8</f>
        <v/>
      </c>
      <c r="J8" s="12">
        <f>K8-H8</f>
        <v/>
      </c>
      <c r="K8" s="12" t="n">
        <v>167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0" t="n"/>
      <c r="H9" s="10" t="n">
        <v>119</v>
      </c>
      <c r="I9" s="11">
        <f>H9/$D$9</f>
        <v/>
      </c>
      <c r="J9" s="12">
        <f>K9-H9</f>
        <v/>
      </c>
      <c r="K9" s="12" t="n">
        <v>119</v>
      </c>
      <c r="L9" s="13">
        <f>K9/$D$9</f>
        <v/>
      </c>
      <c r="M9" s="8" t="inlineStr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0" t="n"/>
      <c r="H10" s="10" t="n">
        <v>100</v>
      </c>
      <c r="I10" s="11">
        <f>H10/$D$10</f>
        <v/>
      </c>
      <c r="J10" s="12">
        <f>K10-H10</f>
        <v/>
      </c>
      <c r="K10" s="12" t="n">
        <v>101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0" t="n"/>
      <c r="H11" s="10" t="n">
        <v>49</v>
      </c>
      <c r="I11" s="11">
        <f>H11/$D$11</f>
        <v/>
      </c>
      <c r="J11" s="12">
        <f>K11-H11</f>
        <v/>
      </c>
      <c r="K11" s="12" t="n">
        <v>54</v>
      </c>
      <c r="L11" s="13">
        <f>K11/$D$11</f>
        <v/>
      </c>
      <c r="M11" s="8" t="inlineStr">
        <is>
          <t>Latest sales - Block A: 54 units</t>
        </is>
      </c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0" t="n"/>
      <c r="H12" s="10" t="n">
        <v>62</v>
      </c>
      <c r="I12" s="11">
        <f>H12/$D$12</f>
        <v/>
      </c>
      <c r="J12" s="12">
        <f>K12-H12</f>
        <v/>
      </c>
      <c r="K12" s="12" t="n">
        <v>62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0" t="n"/>
      <c r="H13" s="10" t="n">
        <v>265</v>
      </c>
      <c r="I13" s="11">
        <f>H13/$D$13</f>
        <v/>
      </c>
      <c r="J13" s="12">
        <f>K13-H13</f>
        <v/>
      </c>
      <c r="K13" s="12" t="n">
        <v>265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0" t="n"/>
      <c r="H14" s="10" t="n">
        <v>265</v>
      </c>
      <c r="I14" s="11">
        <f>H14/$D$14</f>
        <v/>
      </c>
      <c r="J14" s="12">
        <f>K14-H14</f>
        <v/>
      </c>
      <c r="K14" s="12" t="n">
        <v>265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0" t="n"/>
      <c r="H15" s="10" t="n">
        <v>205</v>
      </c>
      <c r="I15" s="11">
        <f>H15/$D$15</f>
        <v/>
      </c>
      <c r="J15" s="12">
        <f>K15-H15</f>
        <v/>
      </c>
      <c r="K15" s="12" t="n">
        <v>207</v>
      </c>
      <c r="L15" s="13">
        <f>K15/$D$15</f>
        <v/>
      </c>
      <c r="M15" s="8" t="inlineStr">
        <is>
          <t>Latest sales - Block A: 77 units, Block B: 130 units</t>
        </is>
      </c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0" t="n"/>
      <c r="H16" s="10" t="n">
        <v>30</v>
      </c>
      <c r="I16" s="11">
        <f>H16/$D$16</f>
        <v/>
      </c>
      <c r="J16" s="12">
        <f>K16-H16</f>
        <v/>
      </c>
      <c r="K16" s="12" t="n">
        <v>39</v>
      </c>
      <c r="L16" s="13">
        <f>K16/$D$16</f>
        <v/>
      </c>
      <c r="M16" s="8" t="inlineStr">
        <is>
          <t>Latest sales - Block C: 39 units</t>
        </is>
      </c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0" t="n"/>
      <c r="H17" s="10" t="n">
        <v>0</v>
      </c>
      <c r="I17" s="11">
        <f>H17/$D$17</f>
        <v/>
      </c>
      <c r="J17" s="12">
        <f>K17-H17</f>
        <v/>
      </c>
      <c r="K17" s="12" t="n">
        <v>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0" t="n"/>
      <c r="H18" s="10" t="n">
        <v>1011</v>
      </c>
      <c r="I18" s="11">
        <f>H18/$D$18</f>
        <v/>
      </c>
      <c r="J18" s="12">
        <f>K18-H18</f>
        <v/>
      </c>
      <c r="K18" s="12" t="n">
        <v>1017</v>
      </c>
      <c r="L18" s="13">
        <f>K18/$D$18</f>
        <v/>
      </c>
      <c r="M18" s="8" t="inlineStr">
        <is>
          <t>Latest sales - Block A: 370 units, Block A1: 302 units, Block B: 345 units</t>
        </is>
      </c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0" t="n"/>
      <c r="H19" s="10" t="n">
        <v>44</v>
      </c>
      <c r="I19" s="11">
        <f>H19/$D$19</f>
        <v/>
      </c>
      <c r="J19" s="12">
        <f>K19-H19</f>
        <v/>
      </c>
      <c r="K19" s="12" t="n">
        <v>46</v>
      </c>
      <c r="L19" s="13">
        <f>K19/$D$19</f>
        <v/>
      </c>
      <c r="M19" s="8" t="inlineStr">
        <is>
          <t>Latest sales - Block A: 34 units, Block B: 10 units, Block C: 2 units</t>
        </is>
      </c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0" t="n"/>
      <c r="H20" s="10" t="n">
        <v>112</v>
      </c>
      <c r="I20" s="11">
        <f>H20/$D$20</f>
        <v/>
      </c>
      <c r="J20" s="12">
        <f>K20-H20</f>
        <v/>
      </c>
      <c r="K20" s="12" t="n">
        <v>112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0" t="n"/>
      <c r="H21" s="10" t="n">
        <v>85</v>
      </c>
      <c r="I21" s="11">
        <f>H21/$D$21</f>
        <v/>
      </c>
      <c r="J21" s="12">
        <f>K21-H21</f>
        <v/>
      </c>
      <c r="K21" s="12" t="n">
        <v>85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0" t="n"/>
      <c r="H22" s="10" t="n">
        <v>501</v>
      </c>
      <c r="I22" s="11">
        <f>H22/$D$22</f>
        <v/>
      </c>
      <c r="J22" s="12">
        <f>K22-H22</f>
        <v/>
      </c>
      <c r="K22" s="12" t="n">
        <v>505</v>
      </c>
      <c r="L22" s="13">
        <f>K22/$D$22</f>
        <v/>
      </c>
      <c r="M22" s="8" t="inlineStr">
        <is>
          <t>Latest sales - Block C: 183 units, Block C1: 57 units, Block C2: 265 units</t>
        </is>
      </c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0" t="n"/>
      <c r="H23" s="10" t="n">
        <v>12</v>
      </c>
      <c r="I23" s="11">
        <f>H23/$D$23</f>
        <v/>
      </c>
      <c r="J23" s="12">
        <f>K23-H23</f>
        <v/>
      </c>
      <c r="K23" s="12" t="n">
        <v>12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0" t="n"/>
      <c r="H24" s="10" t="n">
        <v>50</v>
      </c>
      <c r="I24" s="11">
        <f>H24/$D$24</f>
        <v/>
      </c>
      <c r="J24" s="12">
        <f>K24-H24</f>
        <v/>
      </c>
      <c r="K24" s="12" t="n">
        <v>51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0" t="n"/>
      <c r="H25" s="10" t="n">
        <v>141</v>
      </c>
      <c r="I25" s="11">
        <f>H25/$D$25</f>
        <v/>
      </c>
      <c r="J25" s="12">
        <f>K25-H25</f>
        <v/>
      </c>
      <c r="K25" s="12" t="n">
        <v>143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0" t="n"/>
      <c r="H26" s="10" t="n">
        <v>18</v>
      </c>
      <c r="I26" s="11">
        <f>H26/$D$26</f>
        <v/>
      </c>
      <c r="J26" s="12">
        <f>K26-H26</f>
        <v/>
      </c>
      <c r="K26" s="12" t="n">
        <v>18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0" t="n"/>
      <c r="H27" s="10" t="n">
        <v>0</v>
      </c>
      <c r="I27" s="11">
        <f>H27/$D$27</f>
        <v/>
      </c>
      <c r="J27" s="12">
        <f>K27-H27</f>
        <v/>
      </c>
      <c r="K27" s="12" t="n">
        <v>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0" t="n"/>
      <c r="H29" s="10" t="n">
        <v>123</v>
      </c>
      <c r="I29" s="11">
        <f>H29/$D$29</f>
        <v/>
      </c>
      <c r="J29" s="12">
        <f>K29-H29</f>
        <v/>
      </c>
      <c r="K29" s="12" t="n">
        <v>123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0" t="n"/>
      <c r="H32" s="10" t="n">
        <v>20</v>
      </c>
      <c r="I32" s="11">
        <f>H32/$D$32</f>
        <v/>
      </c>
      <c r="J32" s="12">
        <f>K32-H32</f>
        <v/>
      </c>
      <c r="K32" s="12" t="n">
        <v>20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0" t="n"/>
      <c r="H33" s="10" t="n">
        <v>7</v>
      </c>
      <c r="I33" s="11">
        <f>H33/$D$33</f>
        <v/>
      </c>
      <c r="J33" s="12">
        <f>K33-H33</f>
        <v/>
      </c>
      <c r="K33" s="12" t="n">
        <v>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0" t="n"/>
      <c r="H34" s="10" t="n">
        <v>75</v>
      </c>
      <c r="I34" s="11">
        <f>H34/$D$34</f>
        <v/>
      </c>
      <c r="J34" s="12">
        <f>K34-H34</f>
        <v/>
      </c>
      <c r="K34" s="12" t="n">
        <v>75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0" t="n"/>
      <c r="H35" s="10" t="n">
        <v>77</v>
      </c>
      <c r="I35" s="11">
        <f>H35/$D$35</f>
        <v/>
      </c>
      <c r="J35" s="12">
        <f>K35-H35</f>
        <v/>
      </c>
      <c r="K35" s="12" t="n">
        <v>77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0" t="n"/>
      <c r="H36" s="10" t="n">
        <v>124</v>
      </c>
      <c r="I36" s="11">
        <f>H36/$D$36</f>
        <v/>
      </c>
      <c r="J36" s="12">
        <f>K36-H36</f>
        <v/>
      </c>
      <c r="K36" s="12" t="n">
        <v>124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0" t="n"/>
      <c r="H37" s="10" t="n">
        <v>59</v>
      </c>
      <c r="I37" s="11">
        <f>H37/$D$37</f>
        <v/>
      </c>
      <c r="J37" s="12">
        <f>K37-H37</f>
        <v/>
      </c>
      <c r="K37" s="12" t="n">
        <v>60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0" t="n"/>
      <c r="H38" s="10" t="n">
        <v>109</v>
      </c>
      <c r="I38" s="11">
        <f>H38/$D$38</f>
        <v/>
      </c>
      <c r="J38" s="12">
        <f>K38-H38</f>
        <v/>
      </c>
      <c r="K38" s="12" t="n">
        <v>111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0" t="n"/>
      <c r="H39" s="10" t="n">
        <v>821</v>
      </c>
      <c r="I39" s="11">
        <f>H39/$D$39</f>
        <v/>
      </c>
      <c r="J39" s="12">
        <f>K39-H39</f>
        <v/>
      </c>
      <c r="K39" s="12" t="n">
        <v>829</v>
      </c>
      <c r="L39" s="13">
        <f>K39/$D$39</f>
        <v/>
      </c>
      <c r="M39" s="8" t="inlineStr">
        <is>
          <t>Latest sales - Block A: 333 units, Block B: 496 units</t>
        </is>
      </c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/>
      <c r="F40" s="8" t="inlineStr">
        <is>
          <t>WAWARI SDN. BHD.</t>
        </is>
      </c>
      <c r="G40" s="10" t="n"/>
      <c r="H40" s="10" t="n"/>
      <c r="I40" s="11" t="n"/>
      <c r="J40" s="12" t="n"/>
      <c r="K40" s="12" t="n"/>
      <c r="L40" s="13" t="n"/>
      <c r="M40" s="8" t="inlineStr">
        <is>
          <t>Not launched yet.</t>
        </is>
      </c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/>
      <c r="F41" s="8" t="inlineStr"/>
      <c r="G41" s="10" t="n"/>
      <c r="H41" s="10" t="n"/>
      <c r="I41" s="11" t="n"/>
      <c r="J41" s="12" t="n"/>
      <c r="K41" s="12" t="n"/>
      <c r="L41" s="13" t="n"/>
      <c r="M41" s="8" t="inlineStr">
        <is>
          <t>Not launched yet.</t>
        </is>
      </c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0" t="n"/>
      <c r="H42" s="10" t="n">
        <v>394</v>
      </c>
      <c r="I42" s="11">
        <f>H42/$D$42</f>
        <v/>
      </c>
      <c r="J42" s="12">
        <f>K42-H42</f>
        <v/>
      </c>
      <c r="K42" s="12" t="n">
        <v>394</v>
      </c>
      <c r="L42" s="13">
        <f>K42/$D$42</f>
        <v/>
      </c>
      <c r="M42" s="8" t="inlineStr">
        <is>
          <t>Latest sales - Block A: 199 units, Block B: 195 units</t>
        </is>
      </c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0" t="n"/>
      <c r="H43" s="10" t="n">
        <v>754</v>
      </c>
      <c r="I43" s="11">
        <f>H43/$D$43</f>
        <v/>
      </c>
      <c r="J43" s="12">
        <f>K43-H43</f>
        <v/>
      </c>
      <c r="K43" s="12" t="n">
        <v>754</v>
      </c>
      <c r="L43" s="13">
        <f>K43/$D$43</f>
        <v/>
      </c>
      <c r="M43" s="8" t="inlineStr">
        <is>
          <t>Latest sales - Block A: 115 units, Block B: 163 units, Block C: 55 units</t>
        </is>
      </c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0" t="n"/>
      <c r="H44" s="10" t="n">
        <v>7</v>
      </c>
      <c r="I44" s="11">
        <f>H44/$D$44</f>
        <v/>
      </c>
      <c r="J44" s="12">
        <f>K44-H44</f>
        <v/>
      </c>
      <c r="K44" s="12" t="n">
        <v>7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0" t="n"/>
      <c r="H46" s="10" t="n">
        <v>5</v>
      </c>
      <c r="I46" s="11">
        <f>H46/$D$46</f>
        <v/>
      </c>
      <c r="J46" s="12">
        <f>K46-H46</f>
        <v/>
      </c>
      <c r="K46" s="12" t="n">
        <v>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0" t="n"/>
      <c r="H47" s="10" t="n"/>
      <c r="I47" s="11" t="n"/>
      <c r="J47" s="12" t="n"/>
      <c r="K47" s="12" t="n">
        <v>111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0" t="n"/>
      <c r="H48" s="10" t="n"/>
      <c r="I48" s="11" t="n"/>
      <c r="J48" s="12" t="n"/>
      <c r="K48" s="12" t="n">
        <v>166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0" t="n"/>
      <c r="H49" s="10" t="n"/>
      <c r="I49" s="11" t="n"/>
      <c r="J49" s="12" t="n"/>
      <c r="K49" s="12" t="n">
        <v>81</v>
      </c>
      <c r="L49" s="13">
        <f>K49/$D$49</f>
        <v/>
      </c>
      <c r="M4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M4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(LAGENDA)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0" t="n"/>
      <c r="H5" s="10" t="n">
        <v>805</v>
      </c>
      <c r="I5" s="11">
        <f>H5/$D$5</f>
        <v/>
      </c>
      <c r="J5" s="12">
        <f>K5-H5</f>
        <v/>
      </c>
      <c r="K5" s="12" t="n">
        <v>806</v>
      </c>
      <c r="L5" s="13">
        <f>K5/$D$5</f>
        <v/>
      </c>
      <c r="M5" s="8" t="inlineStr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0" t="n"/>
      <c r="H6" s="10" t="n">
        <v>390</v>
      </c>
      <c r="I6" s="11">
        <f>H6/$D$6</f>
        <v/>
      </c>
      <c r="J6" s="12">
        <f>K6-H6</f>
        <v/>
      </c>
      <c r="K6" s="12" t="n">
        <v>400</v>
      </c>
      <c r="L6" s="13">
        <f>K6/$D$6</f>
        <v/>
      </c>
      <c r="M6" s="8" t="inlineStr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0" t="n"/>
      <c r="H7" s="10" t="n">
        <v>738</v>
      </c>
      <c r="I7" s="11">
        <f>H7/$D$7</f>
        <v/>
      </c>
      <c r="J7" s="12">
        <f>K7-H7</f>
        <v/>
      </c>
      <c r="K7" s="12" t="n">
        <v>742</v>
      </c>
      <c r="L7" s="13">
        <f>K7/$D$7</f>
        <v/>
      </c>
      <c r="M7" s="8" t="inlineStr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0" t="n"/>
      <c r="H8" s="10" t="n">
        <v>4</v>
      </c>
      <c r="I8" s="11">
        <f>H8/$D$8</f>
        <v/>
      </c>
      <c r="J8" s="12">
        <f>K8-H8</f>
        <v/>
      </c>
      <c r="K8" s="12" t="n">
        <v>5</v>
      </c>
      <c r="L8" s="13">
        <f>K8/$D$8</f>
        <v/>
      </c>
      <c r="M8" s="8" t="inlineStr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0" t="n"/>
      <c r="H9" s="10" t="n">
        <v>738</v>
      </c>
      <c r="I9" s="11">
        <f>H9/$D$9</f>
        <v/>
      </c>
      <c r="J9" s="12">
        <f>K9-H9</f>
        <v/>
      </c>
      <c r="K9" s="12" t="n">
        <v>740</v>
      </c>
      <c r="L9" s="13">
        <f>K9/$D$9</f>
        <v/>
      </c>
      <c r="M9" s="8" t="inlineStr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0" t="n"/>
      <c r="H10" s="10" t="n">
        <v>579</v>
      </c>
      <c r="I10" s="11">
        <f>H10/$D$10</f>
        <v/>
      </c>
      <c r="J10" s="12">
        <f>K10-H10</f>
        <v/>
      </c>
      <c r="K10" s="12" t="n">
        <v>580</v>
      </c>
      <c r="L10" s="13">
        <f>K10/$D$10</f>
        <v/>
      </c>
      <c r="M10" s="8" t="inlineStr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0" t="n"/>
      <c r="H12" s="10" t="n">
        <v>299</v>
      </c>
      <c r="I12" s="11">
        <f>H12/$D$12</f>
        <v/>
      </c>
      <c r="J12" s="12">
        <f>K12-H12</f>
        <v/>
      </c>
      <c r="K12" s="12" t="n">
        <v>306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0" t="n"/>
      <c r="H13" s="10" t="n">
        <v>131</v>
      </c>
      <c r="I13" s="11">
        <f>H13/$D$13</f>
        <v/>
      </c>
      <c r="J13" s="12">
        <f>K13-H13</f>
        <v/>
      </c>
      <c r="K13" s="12" t="n">
        <v>133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0" t="n"/>
      <c r="H14" s="10" t="n">
        <v>997</v>
      </c>
      <c r="I14" s="11">
        <f>H14/$D$14</f>
        <v/>
      </c>
      <c r="J14" s="12">
        <f>K14-H14</f>
        <v/>
      </c>
      <c r="K14" s="12" t="n">
        <v>997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0" t="n"/>
      <c r="H15" s="10" t="n">
        <v>150</v>
      </c>
      <c r="I15" s="11">
        <f>H15/$D$15</f>
        <v/>
      </c>
      <c r="J15" s="12">
        <f>K15-H15</f>
        <v/>
      </c>
      <c r="K15" s="12" t="n">
        <v>151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0" t="n"/>
      <c r="H16" s="10" t="n">
        <v>0</v>
      </c>
      <c r="I16" s="11">
        <f>H16/$D$16</f>
        <v/>
      </c>
      <c r="J16" s="12">
        <f>K16-H16</f>
        <v/>
      </c>
      <c r="K16" s="12" t="n">
        <v>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62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0" t="n"/>
      <c r="H18" s="10" t="n">
        <v>67</v>
      </c>
      <c r="I18" s="11">
        <f>H18/$D$18</f>
        <v/>
      </c>
      <c r="J18" s="12">
        <f>K18-H18</f>
        <v/>
      </c>
      <c r="K18" s="12" t="n">
        <v>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0" t="n"/>
      <c r="H19" s="10" t="n">
        <v>636</v>
      </c>
      <c r="I19" s="11">
        <f>H19/$D$19</f>
        <v/>
      </c>
      <c r="J19" s="12">
        <f>K19-H19</f>
        <v/>
      </c>
      <c r="K19" s="12" t="n">
        <v>636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0" t="n"/>
      <c r="H20" s="10" t="n">
        <v>26</v>
      </c>
      <c r="I20" s="11">
        <f>H20/$D$20</f>
        <v/>
      </c>
      <c r="J20" s="12">
        <f>K20-H20</f>
        <v/>
      </c>
      <c r="K20" s="12" t="n">
        <v>27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0" t="n"/>
      <c r="H21" s="10" t="n">
        <v>507</v>
      </c>
      <c r="I21" s="11">
        <f>H21/$D$21</f>
        <v/>
      </c>
      <c r="J21" s="12">
        <f>K21-H21</f>
        <v/>
      </c>
      <c r="K21" s="12" t="n">
        <v>507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0" t="n"/>
      <c r="H22" s="10" t="n">
        <v>396</v>
      </c>
      <c r="I22" s="11">
        <f>H22/$D$22</f>
        <v/>
      </c>
      <c r="J22" s="12">
        <f>K22-H22</f>
        <v/>
      </c>
      <c r="K22" s="12" t="n">
        <v>397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Residensi Jati De Meru</t>
        </is>
      </c>
      <c r="C23" s="9" t="n">
        <v>45302</v>
      </c>
      <c r="D23" s="10" t="n">
        <v>1084</v>
      </c>
      <c r="E23" s="7" t="inlineStr">
        <is>
          <t>30155-1</t>
        </is>
      </c>
      <c r="F23" s="8" t="inlineStr">
        <is>
          <t>MAJU TELUK BATIK SDN BHD.</t>
        </is>
      </c>
      <c r="G23" s="10" t="n"/>
      <c r="H23" s="10" t="n">
        <v>911</v>
      </c>
      <c r="I23" s="11">
        <f>H23/$D$23</f>
        <v/>
      </c>
      <c r="J23" s="12">
        <f>K23-H23</f>
        <v/>
      </c>
      <c r="K23" s="12" t="n">
        <v>915</v>
      </c>
      <c r="L23" s="13">
        <f>K23/$D$23</f>
        <v/>
      </c>
      <c r="M23" s="8" t="inlineStr">
        <is>
          <t>Latest sales - Block B: 436 units, Block C: 479 units</t>
        </is>
      </c>
    </row>
    <row r="24">
      <c r="A24" s="7" t="n">
        <v>20</v>
      </c>
      <c r="B24" s="8" t="inlineStr">
        <is>
          <t>Residensi Jati De Meru (Phase 1B)</t>
        </is>
      </c>
      <c r="C24" s="9" t="n">
        <v>46224</v>
      </c>
      <c r="D24" s="10" t="n">
        <v>1084</v>
      </c>
      <c r="E24" s="7" t="inlineStr">
        <is>
          <t>30155-2</t>
        </is>
      </c>
      <c r="F24" s="8" t="inlineStr">
        <is>
          <t>MAJU TELUK BATIK SDN BHD.</t>
        </is>
      </c>
      <c r="G24" s="10" t="n"/>
      <c r="H24" s="10" t="n">
        <v>7</v>
      </c>
      <c r="I24" s="11">
        <f>H24/$D$24</f>
        <v/>
      </c>
      <c r="J24" s="12">
        <f>K24-H24</f>
        <v/>
      </c>
      <c r="K24" s="12" t="n">
        <v>9</v>
      </c>
      <c r="L24" s="13">
        <f>K24/$D$24</f>
        <v/>
      </c>
      <c r="M24" s="8" t="inlineStr">
        <is>
          <t>Latest sales - Block A: 9 units</t>
        </is>
      </c>
    </row>
    <row r="25">
      <c r="A25" s="7" t="n">
        <v>21</v>
      </c>
      <c r="B25" s="8" t="inlineStr">
        <is>
          <t>Lagenda Suria (Phase 1A/1B)</t>
        </is>
      </c>
      <c r="C25" s="9" t="n">
        <v>45171</v>
      </c>
      <c r="D25" s="10" t="n">
        <v>608</v>
      </c>
      <c r="E25" s="7" t="inlineStr">
        <is>
          <t>30223-1</t>
        </is>
      </c>
      <c r="F25" s="8" t="inlineStr">
        <is>
          <t>LAGENDA MERSING  SDN. BHD.</t>
        </is>
      </c>
      <c r="G25" s="10" t="n"/>
      <c r="H25" s="10" t="n">
        <v>606</v>
      </c>
      <c r="I25" s="11">
        <f>H25/$D$25</f>
        <v/>
      </c>
      <c r="J25" s="12">
        <f>K25-H25</f>
        <v/>
      </c>
      <c r="K25" s="12" t="n">
        <v>601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Lagenda Suria</t>
        </is>
      </c>
      <c r="C26" s="9" t="n">
        <v>45398</v>
      </c>
      <c r="D26" s="10" t="n">
        <v>359</v>
      </c>
      <c r="E26" s="7" t="inlineStr">
        <is>
          <t>30223-2</t>
        </is>
      </c>
      <c r="F26" s="8" t="inlineStr">
        <is>
          <t>LAGENDA MERSING  SDN. BHD.</t>
        </is>
      </c>
      <c r="G26" s="10" t="n"/>
      <c r="H26" s="10" t="n">
        <v>246</v>
      </c>
      <c r="I26" s="11">
        <f>H26/$D$26</f>
        <v/>
      </c>
      <c r="J26" s="12">
        <f>K26-H26</f>
        <v/>
      </c>
      <c r="K26" s="12" t="n">
        <v>249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La Lumiere (Nova/Lyra phases)</t>
        </is>
      </c>
      <c r="C27" s="9" t="n">
        <v>45744</v>
      </c>
      <c r="D27" s="10" t="n">
        <v>893</v>
      </c>
      <c r="E27" s="7" t="inlineStr">
        <is>
          <t>30223-3</t>
        </is>
      </c>
      <c r="F27" s="8" t="inlineStr">
        <is>
          <t>LAGENDA MERSING  SDN. BHD.</t>
        </is>
      </c>
      <c r="G27" s="10" t="n"/>
      <c r="H27" s="10" t="n">
        <v>748</v>
      </c>
      <c r="I27" s="11">
        <f>H27/$D$27</f>
        <v/>
      </c>
      <c r="J27" s="12">
        <f>K27-H27</f>
        <v/>
      </c>
      <c r="K27" s="12" t="n">
        <v>754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La Lumiere</t>
        </is>
      </c>
      <c r="C28" s="9" t="n">
        <v>45862</v>
      </c>
      <c r="D28" s="10" t="n">
        <v>1918</v>
      </c>
      <c r="E28" s="7" t="inlineStr">
        <is>
          <t>30223-4</t>
        </is>
      </c>
      <c r="F28" s="8" t="inlineStr">
        <is>
          <t>LAGENDA MERSING  SDN. BHD.</t>
        </is>
      </c>
      <c r="G28" s="10" t="n"/>
      <c r="H28" s="10" t="n">
        <v>1721</v>
      </c>
      <c r="I28" s="11">
        <f>H28/$D$28</f>
        <v/>
      </c>
      <c r="J28" s="12">
        <f>K28-H28</f>
        <v/>
      </c>
      <c r="K28" s="12" t="n">
        <v>1737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Lagenda Suria - Samudra phase</t>
        </is>
      </c>
      <c r="C29" s="9" t="n">
        <v>45889</v>
      </c>
      <c r="D29" s="10" t="n">
        <v>1379</v>
      </c>
      <c r="E29" s="7" t="inlineStr">
        <is>
          <t>30223-5</t>
        </is>
      </c>
      <c r="F29" s="8" t="inlineStr">
        <is>
          <t>LAGENDA MERSING  SDN. BHD.</t>
        </is>
      </c>
      <c r="G29" s="10" t="n"/>
      <c r="H29" s="10" t="n">
        <v>369</v>
      </c>
      <c r="I29" s="11">
        <f>H29/$D$29</f>
        <v/>
      </c>
      <c r="J29" s="12">
        <f>K29-H29</f>
        <v/>
      </c>
      <c r="K29" s="12" t="n">
        <v>382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La Lumiere - Lexa phase</t>
        </is>
      </c>
      <c r="C30" s="9" t="n">
        <v>46094</v>
      </c>
      <c r="D30" s="10" t="n">
        <v>800</v>
      </c>
      <c r="E30" s="7" t="inlineStr">
        <is>
          <t>30223-6</t>
        </is>
      </c>
      <c r="F30" s="8" t="inlineStr">
        <is>
          <t>LAGENDA MERSING  SDN. BHD.</t>
        </is>
      </c>
      <c r="G30" s="10" t="n"/>
      <c r="H30" s="10" t="n">
        <v>460</v>
      </c>
      <c r="I30" s="11">
        <f>H30/$D$30</f>
        <v/>
      </c>
      <c r="J30" s="12">
        <f>K30-H30</f>
        <v/>
      </c>
      <c r="K30" s="12" t="n">
        <v>472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La Lumiere - Rhea phase</t>
        </is>
      </c>
      <c r="C31" s="9" t="n">
        <v>46220</v>
      </c>
      <c r="D31" s="10" t="n">
        <v>2013</v>
      </c>
      <c r="E31" s="7" t="inlineStr">
        <is>
          <t>30223-7</t>
        </is>
      </c>
      <c r="F31" s="8" t="inlineStr">
        <is>
          <t>LAGENDA MERSING  SDN. BHD.</t>
        </is>
      </c>
      <c r="G31" s="10" t="n"/>
      <c r="H31" s="10" t="n">
        <v>3</v>
      </c>
      <c r="I31" s="11">
        <f>H31/$D$31</f>
        <v/>
      </c>
      <c r="J31" s="12">
        <f>K31-H31</f>
        <v/>
      </c>
      <c r="K31" s="12" t="n">
        <v>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Taman Pengkalan Impian (i-Molek)</t>
        </is>
      </c>
      <c r="C32" s="9" t="n">
        <v>45351</v>
      </c>
      <c r="D32" s="10" t="n">
        <v>201</v>
      </c>
      <c r="E32" s="7" t="inlineStr">
        <is>
          <t>30348-3</t>
        </is>
      </c>
      <c r="F32" s="8" t="inlineStr">
        <is>
          <t>ANJURAN LAGENDA SDN. BHD.</t>
        </is>
      </c>
      <c r="G32" s="10" t="n"/>
      <c r="H32" s="10" t="n">
        <v>200</v>
      </c>
      <c r="I32" s="11">
        <f>H32/$D$32</f>
        <v/>
      </c>
      <c r="J32" s="12">
        <f>K32-H32</f>
        <v/>
      </c>
      <c r="K32" s="12" t="n">
        <v>200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Taman Pengkalan Impian</t>
        </is>
      </c>
      <c r="C33" s="9" t="n">
        <v>45824</v>
      </c>
      <c r="D33" s="10" t="n">
        <v>146</v>
      </c>
      <c r="E33" s="7" t="inlineStr">
        <is>
          <t>30348-4</t>
        </is>
      </c>
      <c r="F33" s="8" t="inlineStr">
        <is>
          <t>ANJURAN LAGENDA SDN. BHD.</t>
        </is>
      </c>
      <c r="G33" s="10" t="n"/>
      <c r="H33" s="10" t="n">
        <v>78</v>
      </c>
      <c r="I33" s="11">
        <f>H33/$D$33</f>
        <v/>
      </c>
      <c r="J33" s="12">
        <f>K33-H33</f>
        <v/>
      </c>
      <c r="K33" s="12" t="n">
        <v>79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Taman Pengkalan Impian</t>
        </is>
      </c>
      <c r="C34" s="9" t="n">
        <v>45910</v>
      </c>
      <c r="D34" s="10" t="n">
        <v>196</v>
      </c>
      <c r="E34" s="7" t="inlineStr">
        <is>
          <t>30348-5</t>
        </is>
      </c>
      <c r="F34" s="8" t="inlineStr">
        <is>
          <t>ANJURAN LAGENDA SDN. BHD.</t>
        </is>
      </c>
      <c r="G34" s="10" t="n"/>
      <c r="H34" s="10" t="n">
        <v>171</v>
      </c>
      <c r="I34" s="11">
        <f>H34/$D$34</f>
        <v/>
      </c>
      <c r="J34" s="12">
        <f>K34-H34</f>
        <v/>
      </c>
      <c r="K34" s="12" t="n">
        <v>174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Lagenda Aman (Shorea/Dahlia phases)</t>
        </is>
      </c>
      <c r="C35" s="9" t="n">
        <v>45069</v>
      </c>
      <c r="D35" s="10" t="n">
        <v>1449</v>
      </c>
      <c r="E35" s="7" t="inlineStr">
        <is>
          <t>30377-1</t>
        </is>
      </c>
      <c r="F35" s="8" t="inlineStr">
        <is>
          <t>LAGENDA TAPAH  SDN. BHD.</t>
        </is>
      </c>
      <c r="G35" s="10" t="n"/>
      <c r="H35" s="10" t="n">
        <v>1245</v>
      </c>
      <c r="I35" s="11">
        <f>H35/$D$35</f>
        <v/>
      </c>
      <c r="J35" s="12">
        <f>K35-H35</f>
        <v/>
      </c>
      <c r="K35" s="12" t="n">
        <v>1245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Taman Cinta Lagenda</t>
        </is>
      </c>
      <c r="C36" s="9" t="n">
        <v>45608</v>
      </c>
      <c r="D36" s="10" t="n">
        <v>124</v>
      </c>
      <c r="E36" s="7" t="inlineStr">
        <is>
          <t>30781-1</t>
        </is>
      </c>
      <c r="F36" s="8" t="inlineStr">
        <is>
          <t>LAGENDA ARMADA SDN. BHD.</t>
        </is>
      </c>
      <c r="G36" s="10" t="n"/>
      <c r="H36" s="10" t="n">
        <v>0</v>
      </c>
      <c r="I36" s="11">
        <f>H36/$D$36</f>
        <v/>
      </c>
      <c r="J36" s="12">
        <f>K36-H36</f>
        <v/>
      </c>
      <c r="K36" s="12" t="n">
        <v>0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Taman Kota Lagenda</t>
        </is>
      </c>
      <c r="C37" s="9" t="n">
        <v>45352</v>
      </c>
      <c r="D37" s="10" t="n">
        <v>49</v>
      </c>
      <c r="E37" s="7" t="inlineStr">
        <is>
          <t>7213-8</t>
        </is>
      </c>
      <c r="F37" s="8" t="inlineStr">
        <is>
          <t>BERIBU LAGENDA SDN. BHD.</t>
        </is>
      </c>
      <c r="G37" s="10" t="n"/>
      <c r="H37" s="10" t="n">
        <v>10</v>
      </c>
      <c r="I37" s="11">
        <f>H37/$D$37</f>
        <v/>
      </c>
      <c r="J37" s="12">
        <f>K37-H37</f>
        <v/>
      </c>
      <c r="K37" s="12" t="n">
        <v>10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Bidoria Residensi</t>
        </is>
      </c>
      <c r="C38" s="9" t="n">
        <v>45037</v>
      </c>
      <c r="D38" s="10" t="n">
        <v>56</v>
      </c>
      <c r="E38" s="7" t="inlineStr">
        <is>
          <t>19950-2</t>
        </is>
      </c>
      <c r="F38" s="8" t="inlineStr"/>
      <c r="G38" s="10" t="n"/>
      <c r="H38" s="10" t="n">
        <v>3</v>
      </c>
      <c r="I38" s="11">
        <f>H38/$D$38</f>
        <v/>
      </c>
      <c r="J38" s="12">
        <f>K38-H38</f>
        <v/>
      </c>
      <c r="K38" s="12" t="n">
        <v>3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Maxitanah Sdn. Bhd. Terraced Homes</t>
        </is>
      </c>
      <c r="C39" s="9" t="n">
        <v>44051</v>
      </c>
      <c r="D39" s="10" t="n">
        <v>397</v>
      </c>
      <c r="E39" s="7" t="inlineStr">
        <is>
          <t>19950-1</t>
        </is>
      </c>
      <c r="F39" s="8" t="inlineStr"/>
      <c r="G39" s="10" t="n"/>
      <c r="H39" s="10" t="n">
        <v>218</v>
      </c>
      <c r="I39" s="11">
        <f>H39/$D$39</f>
        <v/>
      </c>
      <c r="J39" s="12">
        <f>K39-H39</f>
        <v/>
      </c>
      <c r="K39" s="12" t="n">
        <v>218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Lagenda Teluk Intan</t>
        </is>
      </c>
      <c r="C40" s="9" t="n">
        <v>44533</v>
      </c>
      <c r="D40" s="10" t="n">
        <v>1098</v>
      </c>
      <c r="E40" s="7" t="inlineStr">
        <is>
          <t>14283-14</t>
        </is>
      </c>
      <c r="F40" s="8" t="inlineStr"/>
      <c r="G40" s="10" t="n"/>
      <c r="H40" s="10" t="n">
        <v>781</v>
      </c>
      <c r="I40" s="11">
        <f>H40/$D$40</f>
        <v/>
      </c>
      <c r="J40" s="12">
        <f>K40-H40</f>
        <v/>
      </c>
      <c r="K40" s="12" t="n">
        <v>781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Lagenda Tropika</t>
        </is>
      </c>
      <c r="C41" s="9" t="n">
        <v>44511</v>
      </c>
      <c r="D41" s="10" t="n">
        <v>1783</v>
      </c>
      <c r="E41" s="7" t="inlineStr">
        <is>
          <t>14283-13</t>
        </is>
      </c>
      <c r="F41" s="8" t="inlineStr"/>
      <c r="G41" s="10" t="n"/>
      <c r="H41" s="10" t="n">
        <v>1435</v>
      </c>
      <c r="I41" s="11">
        <f>H41/$D$41</f>
        <v/>
      </c>
      <c r="J41" s="12">
        <f>K41-H41</f>
        <v/>
      </c>
      <c r="K41" s="12" t="n">
        <v>1435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Bandar Baru Setiaawan Perdana</t>
        </is>
      </c>
      <c r="C42" s="9" t="n">
        <v>44545</v>
      </c>
      <c r="D42" s="10" t="n">
        <v>668</v>
      </c>
      <c r="E42" s="7" t="inlineStr">
        <is>
          <t>14283-15</t>
        </is>
      </c>
      <c r="F42" s="8" t="inlineStr"/>
      <c r="G42" s="10" t="n"/>
      <c r="H42" s="10" t="n">
        <v>620</v>
      </c>
      <c r="I42" s="11">
        <f>H42/$D$42</f>
        <v/>
      </c>
      <c r="J42" s="12">
        <f>K42-H42</f>
        <v/>
      </c>
      <c r="K42" s="12" t="n">
        <v>620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Bemban Permai</t>
        </is>
      </c>
      <c r="C43" s="9" t="n">
        <v>43844</v>
      </c>
      <c r="D43" s="10" t="n">
        <v>303</v>
      </c>
      <c r="E43" s="7" t="inlineStr">
        <is>
          <t>14283-9</t>
        </is>
      </c>
      <c r="F43" s="8" t="inlineStr"/>
      <c r="G43" s="10" t="n"/>
      <c r="H43" s="10" t="n">
        <v>204</v>
      </c>
      <c r="I43" s="11">
        <f>H43/$D$43</f>
        <v/>
      </c>
      <c r="J43" s="12">
        <f>K43-H43</f>
        <v/>
      </c>
      <c r="K43" s="12" t="n">
        <v>204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Mulia Signature</t>
        </is>
      </c>
      <c r="C44" s="9" t="n">
        <v>43851</v>
      </c>
      <c r="D44" s="10" t="n">
        <v>242</v>
      </c>
      <c r="E44" s="7" t="inlineStr">
        <is>
          <t>11225-9,11225-10</t>
        </is>
      </c>
      <c r="F44" s="8" t="inlineStr"/>
      <c r="G44" s="10" t="n"/>
      <c r="H44" s="10" t="n">
        <v>119</v>
      </c>
      <c r="I44" s="11">
        <f>H44/$D$44</f>
        <v/>
      </c>
      <c r="J44" s="12">
        <f>K44-H44</f>
        <v/>
      </c>
      <c r="K44" s="12" t="n">
        <v>119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Taman Permai Jaya 2</t>
        </is>
      </c>
      <c r="C45" s="9" t="n">
        <v>46108</v>
      </c>
      <c r="D45" s="10" t="n">
        <v>18</v>
      </c>
      <c r="E45" s="7" t="inlineStr">
        <is>
          <t>20128-2</t>
        </is>
      </c>
      <c r="F45" s="8" t="inlineStr">
        <is>
          <t>HEKTAR MUDA SDN. BHD.</t>
        </is>
      </c>
      <c r="G45" s="10" t="n"/>
      <c r="H45" s="10" t="n">
        <v>0</v>
      </c>
      <c r="I45" s="11">
        <f>H45/$D$45</f>
        <v/>
      </c>
      <c r="J45" s="12">
        <f>K45-H45</f>
        <v/>
      </c>
      <c r="K45" s="12" t="n">
        <v>0</v>
      </c>
      <c r="L45" s="13">
        <f>K45/$D$45</f>
        <v/>
      </c>
      <c r="M4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(LBS)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0" t="n"/>
      <c r="H5" s="10" t="n">
        <v>28</v>
      </c>
      <c r="I5" s="11">
        <f>H5/$D$5</f>
        <v/>
      </c>
      <c r="J5" s="12">
        <f>K5-H5</f>
        <v/>
      </c>
      <c r="K5" s="12" t="n">
        <v>28</v>
      </c>
      <c r="L5" s="13">
        <f>K5/$D$5</f>
        <v/>
      </c>
      <c r="M5" s="8" t="inlineStr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0" t="n"/>
      <c r="H6" s="10" t="n">
        <v>2</v>
      </c>
      <c r="I6" s="11">
        <f>H6/$D$6</f>
        <v/>
      </c>
      <c r="J6" s="12">
        <f>K6-H6</f>
        <v/>
      </c>
      <c r="K6" s="12" t="n">
        <v>2</v>
      </c>
      <c r="L6" s="13">
        <f>K6/$D$6</f>
        <v/>
      </c>
      <c r="M6" s="8" t="inlineStr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0" t="n"/>
      <c r="H7" s="10" t="n">
        <v>984</v>
      </c>
      <c r="I7" s="11">
        <f>H7/$D$7</f>
        <v/>
      </c>
      <c r="J7" s="12">
        <f>K7-H7</f>
        <v/>
      </c>
      <c r="K7" s="12" t="n">
        <v>985</v>
      </c>
      <c r="L7" s="13">
        <f>K7/$D$7</f>
        <v/>
      </c>
      <c r="M7" s="8" t="inlineStr">
        <is>
          <t>Latest sales - Block A: 492 units, Block B: 493 units</t>
        </is>
      </c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0" t="n"/>
      <c r="H8" s="10" t="n">
        <v>592</v>
      </c>
      <c r="I8" s="11">
        <f>H8/$D$8</f>
        <v/>
      </c>
      <c r="J8" s="12">
        <f>K8-H8</f>
        <v/>
      </c>
      <c r="K8" s="12" t="n">
        <v>592</v>
      </c>
      <c r="L8" s="13">
        <f>K8/$D$8</f>
        <v/>
      </c>
      <c r="M8" s="8" t="inlineStr">
        <is>
          <t>Latest sales - Block B: 592 units</t>
        </is>
      </c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0" t="n"/>
      <c r="H9" s="10" t="n">
        <v>393</v>
      </c>
      <c r="I9" s="11">
        <f>H9/$D$9</f>
        <v/>
      </c>
      <c r="J9" s="12">
        <f>K9-H9</f>
        <v/>
      </c>
      <c r="K9" s="12" t="n">
        <v>393</v>
      </c>
      <c r="L9" s="13">
        <f>K9/$D$9</f>
        <v/>
      </c>
      <c r="M9" s="8" t="inlineStr">
        <is>
          <t>Latest sales - Block A: 393 units</t>
        </is>
      </c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0" t="n"/>
      <c r="H10" s="10" t="n">
        <v>813</v>
      </c>
      <c r="I10" s="11">
        <f>H10/$D$10</f>
        <v/>
      </c>
      <c r="J10" s="12">
        <f>K10-H10</f>
        <v/>
      </c>
      <c r="K10" s="12" t="n">
        <v>813</v>
      </c>
      <c r="L10" s="13">
        <f>K10/$D$10</f>
        <v/>
      </c>
      <c r="M10" s="8" t="inlineStr">
        <is>
          <t>Latest sales - Block KBS: 813 units</t>
        </is>
      </c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0" t="n"/>
      <c r="H12" s="10" t="n">
        <v>0</v>
      </c>
      <c r="I12" s="11">
        <f>H12/$D$12</f>
        <v/>
      </c>
      <c r="J12" s="12">
        <f>K12-H12</f>
        <v/>
      </c>
      <c r="K12" s="12" t="n">
        <v>0</v>
      </c>
      <c r="L12" s="13">
        <f>K12/$D$12</f>
        <v/>
      </c>
      <c r="M12" s="8" t="inlineStr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0" t="n"/>
      <c r="H13" s="10" t="n">
        <v>311</v>
      </c>
      <c r="I13" s="11">
        <f>H13/$D$13</f>
        <v/>
      </c>
      <c r="J13" s="12">
        <f>K13-H13</f>
        <v/>
      </c>
      <c r="K13" s="12" t="n">
        <v>322</v>
      </c>
      <c r="L13" s="13">
        <f>K13/$D$13</f>
        <v/>
      </c>
      <c r="M13" s="8" t="inlineStr">
        <is>
          <t>Latest sales - Block A: 246 units</t>
        </is>
      </c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0" t="n"/>
      <c r="H14" s="10" t="n">
        <v>890</v>
      </c>
      <c r="I14" s="11">
        <f>H14/$D$14</f>
        <v/>
      </c>
      <c r="J14" s="12">
        <f>K14-H14</f>
        <v/>
      </c>
      <c r="K14" s="12" t="n">
        <v>890</v>
      </c>
      <c r="L14" s="13">
        <f>K14/$D$14</f>
        <v/>
      </c>
      <c r="M14" s="8" t="inlineStr">
        <is>
          <t>Latest sales - Block KSA: 451 units, Block KSB: 439 units</t>
        </is>
      </c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0" t="n"/>
      <c r="H15" s="10" t="n">
        <v>475</v>
      </c>
      <c r="I15" s="11">
        <f>H15/$D$15</f>
        <v/>
      </c>
      <c r="J15" s="12">
        <f>K15-H15</f>
        <v/>
      </c>
      <c r="K15" s="12" t="n">
        <v>480</v>
      </c>
      <c r="L15" s="13">
        <f>K15/$D$15</f>
        <v/>
      </c>
      <c r="M15" s="8" t="inlineStr">
        <is>
          <t>Latest sales - Block CI: 480 units</t>
        </is>
      </c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19632-1,19632-2,19632-3,19632-4,19632-5,19632-6,19632-7,19632-8,19632-9,19632-10,19632-11,19632-12,19632-13</t>
        </is>
      </c>
      <c r="F16" s="8" t="inlineStr"/>
      <c r="G16" s="10" t="n"/>
      <c r="H16" s="10" t="n">
        <v>732</v>
      </c>
      <c r="I16" s="11">
        <f>H16/$D$16</f>
        <v/>
      </c>
      <c r="J16" s="12">
        <f>K16-H16</f>
        <v/>
      </c>
      <c r="K16" s="12" t="n">
        <v>732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0" t="n"/>
      <c r="H17" s="10" t="n">
        <v>34</v>
      </c>
      <c r="I17" s="11">
        <f>H17/$D$17</f>
        <v/>
      </c>
      <c r="J17" s="12">
        <f>K17-H17</f>
        <v/>
      </c>
      <c r="K17" s="12" t="n">
        <v>34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0" t="n"/>
      <c r="H18" s="10" t="n">
        <v>312</v>
      </c>
      <c r="I18" s="11">
        <f>H18/$D$18</f>
        <v/>
      </c>
      <c r="J18" s="12">
        <f>K18-H18</f>
        <v/>
      </c>
      <c r="K18" s="12" t="n">
        <v>320</v>
      </c>
      <c r="L18" s="13">
        <f>K18/$D$18</f>
        <v/>
      </c>
      <c r="M18" s="8" t="inlineStr">
        <is>
          <t>Latest sales - Block A: 320 units</t>
        </is>
      </c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0" t="n"/>
      <c r="H19" s="10" t="n">
        <v>0</v>
      </c>
      <c r="I19" s="11">
        <f>H19/$D$19</f>
        <v/>
      </c>
      <c r="J19" s="12">
        <f>K19-H19</f>
        <v/>
      </c>
      <c r="K19" s="12" t="n">
        <v>0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0" t="n"/>
      <c r="H20" s="10" t="n">
        <v>638</v>
      </c>
      <c r="I20" s="11">
        <f>H20/$D$20</f>
        <v/>
      </c>
      <c r="J20" s="12">
        <f>K20-H20</f>
        <v/>
      </c>
      <c r="K20" s="12" t="n">
        <v>638</v>
      </c>
      <c r="L20" s="13">
        <f>K20/$D$20</f>
        <v/>
      </c>
      <c r="M20" s="8" t="inlineStr">
        <is>
          <t>Latest sales - Block A: 638 units</t>
        </is>
      </c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0" t="n"/>
      <c r="H21" s="10" t="n">
        <v>638</v>
      </c>
      <c r="I21" s="11">
        <f>H21/$D$21</f>
        <v/>
      </c>
      <c r="J21" s="12">
        <f>K21-H21</f>
        <v/>
      </c>
      <c r="K21" s="12" t="n">
        <v>638</v>
      </c>
      <c r="L21" s="13">
        <f>K21/$D$21</f>
        <v/>
      </c>
      <c r="M21" s="8" t="inlineStr">
        <is>
          <t>Latest sales - Block B: 638 units</t>
        </is>
      </c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0" t="n"/>
      <c r="H22" s="10" t="n">
        <v>52</v>
      </c>
      <c r="I22" s="11">
        <f>H22/$D$22</f>
        <v/>
      </c>
      <c r="J22" s="12">
        <f>K22-H22</f>
        <v/>
      </c>
      <c r="K22" s="12" t="n">
        <v>52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0" t="n"/>
      <c r="H23" s="10" t="n">
        <v>314</v>
      </c>
      <c r="I23" s="11">
        <f>H23/$D$23</f>
        <v/>
      </c>
      <c r="J23" s="12">
        <f>K23-H23</f>
        <v/>
      </c>
      <c r="K23" s="12" t="n">
        <v>314</v>
      </c>
      <c r="L23" s="13">
        <f>K23/$D$23</f>
        <v/>
      </c>
      <c r="M23" s="8" t="inlineStr">
        <is>
          <t>Latest sales - Block T1: 177 units, Block T2: 137 units</t>
        </is>
      </c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0" t="n"/>
      <c r="H24" s="10" t="n">
        <v>84</v>
      </c>
      <c r="I24" s="11">
        <f>H24/$D$24</f>
        <v/>
      </c>
      <c r="J24" s="12">
        <f>K24-H24</f>
        <v/>
      </c>
      <c r="K24" s="12" t="n">
        <v>84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0" t="n"/>
      <c r="H25" s="10" t="n">
        <v>454</v>
      </c>
      <c r="I25" s="11">
        <f>H25/$D$25</f>
        <v/>
      </c>
      <c r="J25" s="12">
        <f>K25-H25</f>
        <v/>
      </c>
      <c r="K25" s="12" t="n">
        <v>454</v>
      </c>
      <c r="L25" s="13">
        <f>K25/$D$25</f>
        <v/>
      </c>
      <c r="M25" s="8" t="inlineStr">
        <is>
          <t>Latest sales - Block A: 209 units, Block B: 245 units</t>
        </is>
      </c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0" t="n"/>
      <c r="H26" s="10" t="n">
        <v>446</v>
      </c>
      <c r="I26" s="11">
        <f>H26/$D$26</f>
        <v/>
      </c>
      <c r="J26" s="12">
        <f>K26-H26</f>
        <v/>
      </c>
      <c r="K26" s="12" t="n">
        <v>446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7702-44,7702-45,7702-46,7702-47,7702-48</t>
        </is>
      </c>
      <c r="F27" s="8" t="inlineStr"/>
      <c r="G27" s="10" t="n"/>
      <c r="H27" s="10" t="n">
        <v>150</v>
      </c>
      <c r="I27" s="11">
        <f>H27/$D$27</f>
        <v/>
      </c>
      <c r="J27" s="12">
        <f>K27-H27</f>
        <v/>
      </c>
      <c r="K27" s="12" t="n">
        <v>150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8945-4,8945-5,8945-6,8945-7</t>
        </is>
      </c>
      <c r="F28" s="8" t="inlineStr"/>
      <c r="G28" s="10" t="n"/>
      <c r="H28" s="10" t="n">
        <v>2149</v>
      </c>
      <c r="I28" s="11">
        <f>H28/$D$28</f>
        <v/>
      </c>
      <c r="J28" s="12">
        <f>K28-H28</f>
        <v/>
      </c>
      <c r="K28" s="12" t="n">
        <v>2149</v>
      </c>
      <c r="L28" s="13">
        <f>K28/$D$28</f>
        <v/>
      </c>
      <c r="M28" s="8" t="inlineStr">
        <is>
          <t>Latest sales - Block A: 211 units, Block B: 220 units, Block C: 264 units, Block D: 220 units, Block E: 215 units, Block F: 188 units, Block G: 253 units, Block H: 205 units, Block I: 214 units, Block J: 159 units</t>
        </is>
      </c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0" t="n"/>
      <c r="H29" s="10" t="n">
        <v>491</v>
      </c>
      <c r="I29" s="11">
        <f>H29/$D$29</f>
        <v/>
      </c>
      <c r="J29" s="12">
        <f>K29-H29</f>
        <v/>
      </c>
      <c r="K29" s="12" t="n">
        <v>491</v>
      </c>
      <c r="L29" s="13">
        <f>K29/$D$29</f>
        <v/>
      </c>
      <c r="M29" s="8" t="inlineStr">
        <is>
          <t>Latest sales - Block P: 9 units, Block T1: 401 units, Block T2: 81 units</t>
        </is>
      </c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/>
      <c r="F30" s="8" t="inlineStr"/>
      <c r="G30" s="10" t="n"/>
      <c r="H30" s="10" t="n"/>
      <c r="I30" s="11" t="n"/>
      <c r="J30" s="12" t="n"/>
      <c r="K30" s="12" t="n"/>
      <c r="L30" s="13" t="n"/>
      <c r="M30" s="8" t="inlineStr">
        <is>
          <t>Not launched yet.</t>
        </is>
      </c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/>
      <c r="F31" s="8" t="inlineStr"/>
      <c r="G31" s="10" t="n"/>
      <c r="H31" s="10" t="n"/>
      <c r="I31" s="11" t="n"/>
      <c r="J31" s="12" t="n"/>
      <c r="K31" s="12" t="n"/>
      <c r="L31" s="13" t="n"/>
      <c r="M31" s="8" t="inlineStr">
        <is>
          <t>Not launched yet.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P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(MAH SING)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0" t="n"/>
      <c r="H5" s="10" t="n">
        <v>158</v>
      </c>
      <c r="I5" s="11">
        <f>H5/$D$5</f>
        <v/>
      </c>
      <c r="J5" s="10">
        <f>K5-H5</f>
        <v/>
      </c>
      <c r="K5" s="10" t="n">
        <v>158</v>
      </c>
      <c r="L5" s="11">
        <f>K5/$D$5</f>
        <v/>
      </c>
      <c r="M5" s="12">
        <f>N5-K5</f>
        <v/>
      </c>
      <c r="N5" s="12" t="n">
        <v>158</v>
      </c>
      <c r="O5" s="13">
        <f>N5/$D$5</f>
        <v/>
      </c>
      <c r="P5" s="8" t="inlineStr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12324-1,12324-2</t>
        </is>
      </c>
      <c r="F6" s="8" t="inlineStr">
        <is>
          <t>UPTREND HOUSING DEVELOPMENT SDN. BHD.</t>
        </is>
      </c>
      <c r="G6" s="10" t="n"/>
      <c r="H6" s="10" t="n">
        <v>377</v>
      </c>
      <c r="I6" s="11">
        <f>H6/$D$6</f>
        <v/>
      </c>
      <c r="J6" s="10">
        <f>K6-H6</f>
        <v/>
      </c>
      <c r="K6" s="10" t="n">
        <v>377</v>
      </c>
      <c r="L6" s="11">
        <f>K6/$D$6</f>
        <v/>
      </c>
      <c r="M6" s="12">
        <f>N6-K6</f>
        <v/>
      </c>
      <c r="N6" s="12" t="n">
        <v>377</v>
      </c>
      <c r="O6" s="13">
        <f>N6/$D$6</f>
        <v/>
      </c>
      <c r="P6" s="8" t="inlineStr">
        <is>
          <t>Latest sales - Ferringhi Residence 1: 172 units, Ferringhi Residence 2: 205 units</t>
        </is>
      </c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0" t="n"/>
      <c r="H7" s="10" t="n">
        <v>144</v>
      </c>
      <c r="I7" s="11">
        <f>H7/$D$7</f>
        <v/>
      </c>
      <c r="J7" s="10">
        <f>K7-H7</f>
        <v/>
      </c>
      <c r="K7" s="10" t="n">
        <v>144</v>
      </c>
      <c r="L7" s="11">
        <f>K7/$D$7</f>
        <v/>
      </c>
      <c r="M7" s="12">
        <f>N7-K7</f>
        <v/>
      </c>
      <c r="N7" s="12" t="n">
        <v>144</v>
      </c>
      <c r="O7" s="13">
        <f>N7/$D$7</f>
        <v/>
      </c>
      <c r="P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0" t="n"/>
      <c r="H8" s="10" t="n">
        <v>73</v>
      </c>
      <c r="I8" s="11">
        <f>H8/$D$8</f>
        <v/>
      </c>
      <c r="J8" s="10">
        <f>K8-H8</f>
        <v/>
      </c>
      <c r="K8" s="10" t="n">
        <v>79</v>
      </c>
      <c r="L8" s="11">
        <f>K8/$D$8</f>
        <v/>
      </c>
      <c r="M8" s="12">
        <f>N8-K8</f>
        <v/>
      </c>
      <c r="N8" s="12" t="n">
        <v>86</v>
      </c>
      <c r="O8" s="13">
        <f>N8/$D$8</f>
        <v/>
      </c>
      <c r="P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0" t="n"/>
      <c r="H9" s="10" t="n">
        <v>50</v>
      </c>
      <c r="I9" s="11">
        <f>H9/$D$9</f>
        <v/>
      </c>
      <c r="J9" s="10">
        <f>K9-H9</f>
        <v/>
      </c>
      <c r="K9" s="10" t="n">
        <v>53</v>
      </c>
      <c r="L9" s="11">
        <f>K9/$D$9</f>
        <v/>
      </c>
      <c r="M9" s="12">
        <f>N9-K9</f>
        <v/>
      </c>
      <c r="N9" s="12" t="n">
        <v>56</v>
      </c>
      <c r="O9" s="13">
        <f>N9/$D$9</f>
        <v/>
      </c>
      <c r="P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0" t="n"/>
      <c r="H10" s="10" t="n">
        <v>1013</v>
      </c>
      <c r="I10" s="11">
        <f>H10/$D$10</f>
        <v/>
      </c>
      <c r="J10" s="10">
        <f>K10-H10</f>
        <v/>
      </c>
      <c r="K10" s="10" t="n">
        <v>1019</v>
      </c>
      <c r="L10" s="11">
        <f>K10/$D$10</f>
        <v/>
      </c>
      <c r="M10" s="12">
        <f>N10-K10</f>
        <v/>
      </c>
      <c r="N10" s="12" t="n">
        <v>1028</v>
      </c>
      <c r="O10" s="13">
        <f>N10/$D$10</f>
        <v/>
      </c>
      <c r="P10" s="8" t="inlineStr">
        <is>
          <t>Latest sales - Block A: 465 units, Block B: 563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0" t="n"/>
      <c r="H11" s="10" t="n">
        <v>365</v>
      </c>
      <c r="I11" s="11">
        <f>H11/$D$11</f>
        <v/>
      </c>
      <c r="J11" s="10">
        <f>K11-H11</f>
        <v/>
      </c>
      <c r="K11" s="10" t="n">
        <v>385</v>
      </c>
      <c r="L11" s="11">
        <f>K11/$D$11</f>
        <v/>
      </c>
      <c r="M11" s="12">
        <f>N11-K11</f>
        <v/>
      </c>
      <c r="N11" s="12" t="n">
        <v>392</v>
      </c>
      <c r="O11" s="13">
        <f>N11/$D$11</f>
        <v/>
      </c>
      <c r="P11" s="8" t="inlineStr">
        <is>
          <t>Latest sales - Block A: 69 units, Block B: 323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0" t="n"/>
      <c r="H12" s="10" t="n">
        <v>796</v>
      </c>
      <c r="I12" s="11">
        <f>H12/$D$12</f>
        <v/>
      </c>
      <c r="J12" s="10">
        <f>K12-H12</f>
        <v/>
      </c>
      <c r="K12" s="10" t="n">
        <v>800</v>
      </c>
      <c r="L12" s="11">
        <f>K12/$D$12</f>
        <v/>
      </c>
      <c r="M12" s="12">
        <f>N12-K12</f>
        <v/>
      </c>
      <c r="N12" s="12" t="n">
        <v>805</v>
      </c>
      <c r="O12" s="13">
        <f>N12/$D$12</f>
        <v/>
      </c>
      <c r="P12" s="8" t="inlineStr">
        <is>
          <t>Latest sales - Block A: 430 units, Block B: 375 units</t>
        </is>
      </c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30897-1,30897-2,30897-3</t>
        </is>
      </c>
      <c r="F13" s="8" t="inlineStr">
        <is>
          <t>MESTIKA BISTARI SDN. BHD.</t>
        </is>
      </c>
      <c r="G13" s="10" t="n"/>
      <c r="H13" s="10" t="n">
        <v>652</v>
      </c>
      <c r="I13" s="11">
        <f>H13/$D$13</f>
        <v/>
      </c>
      <c r="J13" s="10">
        <f>K13-H13</f>
        <v/>
      </c>
      <c r="K13" s="10" t="n">
        <v>656</v>
      </c>
      <c r="L13" s="11">
        <f>K13/$D$13</f>
        <v/>
      </c>
      <c r="M13" s="12">
        <f>N13-K13</f>
        <v/>
      </c>
      <c r="N13" s="12" t="n">
        <v>658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0" t="n"/>
      <c r="H14" s="10" t="n">
        <v>1873</v>
      </c>
      <c r="I14" s="11">
        <f>H14/$D$14</f>
        <v/>
      </c>
      <c r="J14" s="10">
        <f>K14-H14</f>
        <v/>
      </c>
      <c r="K14" s="10" t="n">
        <v>1877</v>
      </c>
      <c r="L14" s="11">
        <f>K14/$D$14</f>
        <v/>
      </c>
      <c r="M14" s="12">
        <f>N14-K14</f>
        <v/>
      </c>
      <c r="N14" s="12" t="n">
        <v>1878</v>
      </c>
      <c r="O14" s="13">
        <f>N14/$D$14</f>
        <v/>
      </c>
      <c r="P14" s="8" t="inlineStr">
        <is>
          <t>Latest sales - Block A: 615 units, Block B: 611 units, Block C: 652 units</t>
        </is>
      </c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0" t="n"/>
      <c r="H15" s="10" t="n">
        <v>396</v>
      </c>
      <c r="I15" s="11">
        <f>H15/$D$15</f>
        <v/>
      </c>
      <c r="J15" s="10">
        <f>K15-H15</f>
        <v/>
      </c>
      <c r="K15" s="10" t="n">
        <v>396</v>
      </c>
      <c r="L15" s="11">
        <f>K15/$D$15</f>
        <v/>
      </c>
      <c r="M15" s="12">
        <f>N15-K15</f>
        <v/>
      </c>
      <c r="N15" s="12" t="n">
        <v>396</v>
      </c>
      <c r="O15" s="13">
        <f>N15/$D$15</f>
        <v/>
      </c>
      <c r="P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0" t="n"/>
      <c r="H16" s="10" t="n">
        <v>394</v>
      </c>
      <c r="I16" s="11">
        <f>H16/$D$16</f>
        <v/>
      </c>
      <c r="J16" s="10">
        <f>K16-H16</f>
        <v/>
      </c>
      <c r="K16" s="10" t="n">
        <v>395</v>
      </c>
      <c r="L16" s="11">
        <f>K16/$D$16</f>
        <v/>
      </c>
      <c r="M16" s="12">
        <f>N16-K16</f>
        <v/>
      </c>
      <c r="N16" s="12" t="n">
        <v>395</v>
      </c>
      <c r="O16" s="13">
        <f>N16/$D$16</f>
        <v/>
      </c>
      <c r="P16" s="8" t="inlineStr">
        <is>
          <t>Latest sales - Block A: 395 units</t>
        </is>
      </c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0" t="n"/>
      <c r="H17" s="10" t="n">
        <v>581</v>
      </c>
      <c r="I17" s="11">
        <f>H17/$D$17</f>
        <v/>
      </c>
      <c r="J17" s="10">
        <f>K17-H17</f>
        <v/>
      </c>
      <c r="K17" s="10" t="n">
        <v>587</v>
      </c>
      <c r="L17" s="11">
        <f>K17/$D$17</f>
        <v/>
      </c>
      <c r="M17" s="12">
        <f>N17-K17</f>
        <v/>
      </c>
      <c r="N17" s="12" t="n">
        <v>587</v>
      </c>
      <c r="O17" s="13">
        <f>N17/$D$17</f>
        <v/>
      </c>
      <c r="P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0" t="n"/>
      <c r="H18" s="10" t="n">
        <v>652</v>
      </c>
      <c r="I18" s="11">
        <f>H18/$D$18</f>
        <v/>
      </c>
      <c r="J18" s="10">
        <f>K18-H18</f>
        <v/>
      </c>
      <c r="K18" s="10" t="n">
        <v>652</v>
      </c>
      <c r="L18" s="11">
        <f>K18/$D$18</f>
        <v/>
      </c>
      <c r="M18" s="12">
        <f>N18-K18</f>
        <v/>
      </c>
      <c r="N18" s="12" t="n">
        <v>653</v>
      </c>
      <c r="O18" s="13">
        <f>N18/$D$18</f>
        <v/>
      </c>
      <c r="P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0" t="n"/>
      <c r="H19" s="10" t="n">
        <v>232</v>
      </c>
      <c r="I19" s="11">
        <f>H19/$D$19</f>
        <v/>
      </c>
      <c r="J19" s="10">
        <f>K19-H19</f>
        <v/>
      </c>
      <c r="K19" s="10" t="n">
        <v>233</v>
      </c>
      <c r="L19" s="11">
        <f>K19/$D$19</f>
        <v/>
      </c>
      <c r="M19" s="12">
        <f>N19-K19</f>
        <v/>
      </c>
      <c r="N19" s="12" t="n">
        <v>236</v>
      </c>
      <c r="O19" s="13">
        <f>N19/$D$19</f>
        <v/>
      </c>
      <c r="P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0" t="n"/>
      <c r="H20" s="10" t="n">
        <v>618</v>
      </c>
      <c r="I20" s="11">
        <f>H20/$D$20</f>
        <v/>
      </c>
      <c r="J20" s="10">
        <f>K20-H20</f>
        <v/>
      </c>
      <c r="K20" s="10" t="n">
        <v>618</v>
      </c>
      <c r="L20" s="11">
        <f>K20/$D$20</f>
        <v/>
      </c>
      <c r="M20" s="12">
        <f>N20-K20</f>
        <v/>
      </c>
      <c r="N20" s="12" t="n">
        <v>618</v>
      </c>
      <c r="O20" s="13">
        <f>N20/$D$20</f>
        <v/>
      </c>
      <c r="P20" s="8" t="inlineStr">
        <is>
          <t>Latest sales - Block A: 618 units</t>
        </is>
      </c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0" t="n"/>
      <c r="H21" s="10" t="n">
        <v>762</v>
      </c>
      <c r="I21" s="11">
        <f>H21/$D$21</f>
        <v/>
      </c>
      <c r="J21" s="10">
        <f>K21-H21</f>
        <v/>
      </c>
      <c r="K21" s="10" t="n">
        <v>773</v>
      </c>
      <c r="L21" s="11">
        <f>K21/$D$21</f>
        <v/>
      </c>
      <c r="M21" s="12">
        <f>N21-K21</f>
        <v/>
      </c>
      <c r="N21" s="12" t="n">
        <v>785</v>
      </c>
      <c r="O21" s="13">
        <f>N21/$D$21</f>
        <v/>
      </c>
      <c r="P21" s="8" t="inlineStr">
        <is>
          <t>Latest sales - Block A: 510 units, Block B: 275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0" t="n"/>
      <c r="H22" s="10" t="n">
        <v>1474</v>
      </c>
      <c r="I22" s="11">
        <f>H22/$D$22</f>
        <v/>
      </c>
      <c r="J22" s="10">
        <f>K22-H22</f>
        <v/>
      </c>
      <c r="K22" s="10" t="n">
        <v>1477</v>
      </c>
      <c r="L22" s="11">
        <f>K22/$D$22</f>
        <v/>
      </c>
      <c r="M22" s="12">
        <f>N22-K22</f>
        <v/>
      </c>
      <c r="N22" s="12" t="n">
        <v>1479</v>
      </c>
      <c r="O22" s="13">
        <f>N22/$D$22</f>
        <v/>
      </c>
      <c r="P22" s="8" t="inlineStr">
        <is>
          <t>Latest sales - Block A: 417 units, Block B: 581 units, Block C: 481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P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(MAJESTIC GEN)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0" t="n"/>
      <c r="H5" s="10" t="n">
        <v>731</v>
      </c>
      <c r="I5" s="11">
        <f>H5/$D$5</f>
        <v/>
      </c>
      <c r="J5" s="10">
        <f>K5-H5</f>
        <v/>
      </c>
      <c r="K5" s="10" t="n">
        <v>731</v>
      </c>
      <c r="L5" s="11">
        <f>K5/$D$5</f>
        <v/>
      </c>
      <c r="M5" s="12">
        <f>N5-K5</f>
        <v/>
      </c>
      <c r="N5" s="12" t="n">
        <v>731</v>
      </c>
      <c r="O5" s="13">
        <f>N5/$D$5</f>
        <v/>
      </c>
      <c r="P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0" t="n"/>
      <c r="H6" s="10" t="n">
        <v>908</v>
      </c>
      <c r="I6" s="11">
        <f>H6/$D$6</f>
        <v/>
      </c>
      <c r="J6" s="10">
        <f>K6-H6</f>
        <v/>
      </c>
      <c r="K6" s="10" t="n">
        <v>915</v>
      </c>
      <c r="L6" s="11">
        <f>K6/$D$6</f>
        <v/>
      </c>
      <c r="M6" s="12">
        <f>N6-K6</f>
        <v/>
      </c>
      <c r="N6" s="12" t="n">
        <v>916</v>
      </c>
      <c r="O6" s="13">
        <f>N6/$D$6</f>
        <v/>
      </c>
      <c r="P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0" t="n"/>
      <c r="H7" s="10" t="n">
        <v>355</v>
      </c>
      <c r="I7" s="11">
        <f>H7/$D$7</f>
        <v/>
      </c>
      <c r="J7" s="10">
        <f>K7-H7</f>
        <v/>
      </c>
      <c r="K7" s="10" t="n">
        <v>355</v>
      </c>
      <c r="L7" s="11">
        <f>K7/$D$7</f>
        <v/>
      </c>
      <c r="M7" s="12">
        <f>N7-K7</f>
        <v/>
      </c>
      <c r="N7" s="12" t="n">
        <v>355</v>
      </c>
      <c r="O7" s="13">
        <f>N7/$D$7</f>
        <v/>
      </c>
      <c r="P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0" t="n"/>
      <c r="H8" s="10" t="n">
        <v>478</v>
      </c>
      <c r="I8" s="11">
        <f>H8/$D$8</f>
        <v/>
      </c>
      <c r="J8" s="10">
        <f>K8-H8</f>
        <v/>
      </c>
      <c r="K8" s="10" t="n">
        <v>478</v>
      </c>
      <c r="L8" s="11">
        <f>K8/$D$8</f>
        <v/>
      </c>
      <c r="M8" s="12">
        <f>N8-K8</f>
        <v/>
      </c>
      <c r="N8" s="12" t="n">
        <v>478</v>
      </c>
      <c r="O8" s="13">
        <f>N8/$D$8</f>
        <v/>
      </c>
      <c r="P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0" t="n"/>
      <c r="H9" s="10" t="n">
        <v>98</v>
      </c>
      <c r="I9" s="11">
        <f>H9/$D$9</f>
        <v/>
      </c>
      <c r="J9" s="10">
        <f>K9-H9</f>
        <v/>
      </c>
      <c r="K9" s="10" t="n">
        <v>99</v>
      </c>
      <c r="L9" s="11">
        <f>K9/$D$9</f>
        <v/>
      </c>
      <c r="M9" s="12">
        <f>N9-K9</f>
        <v/>
      </c>
      <c r="N9" s="12" t="n">
        <v>100</v>
      </c>
      <c r="O9" s="13">
        <f>N9/$D$9</f>
        <v/>
      </c>
      <c r="P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0" t="n"/>
      <c r="H10" s="10" t="n">
        <v>393</v>
      </c>
      <c r="I10" s="11">
        <f>H10/$D$10</f>
        <v/>
      </c>
      <c r="J10" s="10">
        <f>K10-H10</f>
        <v/>
      </c>
      <c r="K10" s="10" t="n">
        <v>395</v>
      </c>
      <c r="L10" s="11">
        <f>K10/$D$10</f>
        <v/>
      </c>
      <c r="M10" s="12">
        <f>N10-K10</f>
        <v/>
      </c>
      <c r="N10" s="12" t="n">
        <v>397</v>
      </c>
      <c r="O10" s="13">
        <f>N10/$D$10</f>
        <v/>
      </c>
      <c r="P10" s="8" t="inlineStr">
        <is>
          <t>Latest sales - Block A: 299 units, Block B: 98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0" t="n"/>
      <c r="H12" s="10" t="n">
        <v>73</v>
      </c>
      <c r="I12" s="11">
        <f>H12/$D$12</f>
        <v/>
      </c>
      <c r="J12" s="10">
        <f>K12-H12</f>
        <v/>
      </c>
      <c r="K12" s="10" t="n">
        <v>73</v>
      </c>
      <c r="L12" s="11">
        <f>K12/$D$12</f>
        <v/>
      </c>
      <c r="M12" s="12">
        <f>N12-K12</f>
        <v/>
      </c>
      <c r="N12" s="12" t="n">
        <v>73</v>
      </c>
      <c r="O12" s="13">
        <f>N12/$D$12</f>
        <v/>
      </c>
      <c r="P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0" t="n"/>
      <c r="H13" s="10" t="n">
        <v>0</v>
      </c>
      <c r="I13" s="11">
        <f>H13/$D$13</f>
        <v/>
      </c>
      <c r="J13" s="10">
        <f>K13-H13</f>
        <v/>
      </c>
      <c r="K13" s="10" t="n">
        <v>0</v>
      </c>
      <c r="L13" s="11">
        <f>K13/$D$13</f>
        <v/>
      </c>
      <c r="M13" s="12">
        <f>N13-K13</f>
        <v/>
      </c>
      <c r="N13" s="12" t="n">
        <v>0</v>
      </c>
      <c r="O13" s="13">
        <f>N13/$D$13</f>
        <v/>
      </c>
      <c r="P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0" t="n"/>
      <c r="H14" s="10" t="n"/>
      <c r="I14" s="11" t="n"/>
      <c r="J14" s="10" t="n"/>
      <c r="K14" s="10" t="n"/>
      <c r="L14" s="11" t="n"/>
      <c r="M14" s="12" t="n"/>
      <c r="N14" s="12" t="n"/>
      <c r="O14" s="13" t="n"/>
      <c r="P14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(MALTON)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0" t="n"/>
      <c r="H5" s="10" t="n">
        <v>349</v>
      </c>
      <c r="I5" s="11">
        <f>H5/$D$5</f>
        <v/>
      </c>
      <c r="J5" s="10">
        <f>K5-H5</f>
        <v/>
      </c>
      <c r="K5" s="10" t="n">
        <v>361</v>
      </c>
      <c r="L5" s="11">
        <f>K5/$D$5</f>
        <v/>
      </c>
      <c r="M5" s="12">
        <f>N5-K5</f>
        <v/>
      </c>
      <c r="N5" s="12" t="n">
        <v>364</v>
      </c>
      <c r="O5" s="13">
        <f>N5/$D$5</f>
        <v/>
      </c>
      <c r="P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0" t="n"/>
      <c r="H6" s="10" t="n">
        <v>13</v>
      </c>
      <c r="I6" s="11">
        <f>H6/$D$6</f>
        <v/>
      </c>
      <c r="J6" s="10">
        <f>K6-H6</f>
        <v/>
      </c>
      <c r="K6" s="10" t="n">
        <v>15</v>
      </c>
      <c r="L6" s="11">
        <f>K6/$D$6</f>
        <v/>
      </c>
      <c r="M6" s="12">
        <f>N6-K6</f>
        <v/>
      </c>
      <c r="N6" s="12" t="n">
        <v>16</v>
      </c>
      <c r="O6" s="13">
        <f>N6/$D$6</f>
        <v/>
      </c>
      <c r="P6" s="8" t="inlineStr">
        <is>
          <t>Latest sales - Block N: 8 units, Block S: 8 units</t>
        </is>
      </c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0" t="n"/>
      <c r="H7" s="10" t="n">
        <v>393</v>
      </c>
      <c r="I7" s="11">
        <f>H7/$D$7</f>
        <v/>
      </c>
      <c r="J7" s="10">
        <f>K7-H7</f>
        <v/>
      </c>
      <c r="K7" s="10" t="n">
        <v>395</v>
      </c>
      <c r="L7" s="11">
        <f>K7/$D$7</f>
        <v/>
      </c>
      <c r="M7" s="12">
        <f>N7-K7</f>
        <v/>
      </c>
      <c r="N7" s="12" t="n">
        <v>397</v>
      </c>
      <c r="O7" s="13">
        <f>N7/$D$7</f>
        <v/>
      </c>
      <c r="P7" s="8" t="inlineStr">
        <is>
          <t>Latest sales - Block A: 172 units, Block B: 225 units</t>
        </is>
      </c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0" t="n"/>
      <c r="H8" s="10" t="n">
        <v>329</v>
      </c>
      <c r="I8" s="11">
        <f>H8/$D$8</f>
        <v/>
      </c>
      <c r="J8" s="10">
        <f>K8-H8</f>
        <v/>
      </c>
      <c r="K8" s="10" t="n">
        <v>329</v>
      </c>
      <c r="L8" s="11">
        <f>K8/$D$8</f>
        <v/>
      </c>
      <c r="M8" s="12">
        <f>N8-K8</f>
        <v/>
      </c>
      <c r="N8" s="12" t="n">
        <v>331</v>
      </c>
      <c r="O8" s="13">
        <f>N8/$D$8</f>
        <v/>
      </c>
      <c r="P8" s="8" t="inlineStr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14035-4,14035-5</t>
        </is>
      </c>
      <c r="F9" s="8" t="inlineStr"/>
      <c r="G9" s="10" t="n"/>
      <c r="H9" s="10" t="n">
        <v>981</v>
      </c>
      <c r="I9" s="11">
        <f>H9/$D$9</f>
        <v/>
      </c>
      <c r="J9" s="10">
        <f>K9-H9</f>
        <v/>
      </c>
      <c r="K9" s="10" t="n">
        <v>984</v>
      </c>
      <c r="L9" s="11">
        <f>K9/$D$9</f>
        <v/>
      </c>
      <c r="M9" s="12">
        <f>N9-K9</f>
        <v/>
      </c>
      <c r="N9" s="12" t="n">
        <v>986</v>
      </c>
      <c r="O9" s="13">
        <f>N9/$D$9</f>
        <v/>
      </c>
      <c r="P9" s="8" t="inlineStr">
        <is>
          <t>Latest sales - Block A: 359 units, Block B: 334 units, Block C: 293 units</t>
        </is>
      </c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1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(MAXIM)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0" t="n"/>
      <c r="H5" s="10" t="n">
        <v>604</v>
      </c>
      <c r="I5" s="11">
        <f>H5/$D$5</f>
        <v/>
      </c>
      <c r="J5" s="10">
        <f>K5-H5</f>
        <v/>
      </c>
      <c r="K5" s="10" t="n">
        <v>604</v>
      </c>
      <c r="L5" s="11">
        <f>K5/$D$5</f>
        <v/>
      </c>
      <c r="M5" s="12">
        <f>N5-K5</f>
        <v/>
      </c>
      <c r="N5" s="12" t="n">
        <v>604</v>
      </c>
      <c r="O5" s="13">
        <f>N5/$D$5</f>
        <v/>
      </c>
      <c r="P5" s="8" t="inlineStr">
        <is>
          <t>Latest sales - Block A: 302 units, Block B: 302 units</t>
        </is>
      </c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0" t="n"/>
      <c r="H6" s="10" t="n">
        <v>325</v>
      </c>
      <c r="I6" s="11">
        <f>H6/$D$6</f>
        <v/>
      </c>
      <c r="J6" s="10">
        <f>K6-H6</f>
        <v/>
      </c>
      <c r="K6" s="10" t="n">
        <v>327</v>
      </c>
      <c r="L6" s="11">
        <f>K6/$D$6</f>
        <v/>
      </c>
      <c r="M6" s="12">
        <f>N6-K6</f>
        <v/>
      </c>
      <c r="N6" s="12" t="n">
        <v>335</v>
      </c>
      <c r="O6" s="13">
        <f>N6/$D$6</f>
        <v/>
      </c>
      <c r="P6" s="8" t="inlineStr">
        <is>
          <t>Latest sales - Block A: 114 units, Block B: 221 units</t>
        </is>
      </c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0" t="n"/>
      <c r="H7" s="10" t="n">
        <v>1011</v>
      </c>
      <c r="I7" s="11">
        <f>H7/$D$7</f>
        <v/>
      </c>
      <c r="J7" s="10">
        <f>K7-H7</f>
        <v/>
      </c>
      <c r="K7" s="10" t="n">
        <v>1022</v>
      </c>
      <c r="L7" s="11">
        <f>K7/$D$7</f>
        <v/>
      </c>
      <c r="M7" s="12">
        <f>N7-K7</f>
        <v/>
      </c>
      <c r="N7" s="12" t="n">
        <v>1031</v>
      </c>
      <c r="O7" s="13">
        <f>N7/$D$7</f>
        <v/>
      </c>
      <c r="P7" s="8" t="inlineStr">
        <is>
          <t>Latest sales - Block A: 407 units, Block B: 376 units, Block C: 248 units</t>
        </is>
      </c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0" t="n"/>
      <c r="H8" s="10" t="n">
        <v>1236</v>
      </c>
      <c r="I8" s="11">
        <f>H8/$D$8</f>
        <v/>
      </c>
      <c r="J8" s="10">
        <f>K8-H8</f>
        <v/>
      </c>
      <c r="K8" s="10" t="n">
        <v>1236</v>
      </c>
      <c r="L8" s="11">
        <f>K8/$D$8</f>
        <v/>
      </c>
      <c r="M8" s="12">
        <f>N8-K8</f>
        <v/>
      </c>
      <c r="N8" s="12" t="n">
        <v>1236</v>
      </c>
      <c r="O8" s="13">
        <f>N8/$D$8</f>
        <v/>
      </c>
      <c r="P8" s="8" t="inlineStr">
        <is>
          <t>Latest sales - Block A: 629 units, Block B: 607 units</t>
        </is>
      </c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0" t="n"/>
      <c r="H9" s="10" t="n">
        <v>523</v>
      </c>
      <c r="I9" s="11">
        <f>H9/$D$9</f>
        <v/>
      </c>
      <c r="J9" s="10">
        <f>K9-H9</f>
        <v/>
      </c>
      <c r="K9" s="10" t="n">
        <v>527</v>
      </c>
      <c r="L9" s="11">
        <f>K9/$D$9</f>
        <v/>
      </c>
      <c r="M9" s="12">
        <f>N9-K9</f>
        <v/>
      </c>
      <c r="N9" s="12" t="n">
        <v>528</v>
      </c>
      <c r="O9" s="13">
        <f>N9/$D$9</f>
        <v/>
      </c>
      <c r="P9" s="8" t="inlineStr">
        <is>
          <t>Latest sales - Block A: 179 units, Block B: 165 units, Block C: 184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M1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(MB WORLD)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0" t="n"/>
      <c r="H5" s="10" t="n">
        <v>746</v>
      </c>
      <c r="I5" s="11">
        <f>H5/$D$5</f>
        <v/>
      </c>
      <c r="J5" s="12">
        <f>K5-H5</f>
        <v/>
      </c>
      <c r="K5" s="12" t="n">
        <v>750</v>
      </c>
      <c r="L5" s="13">
        <f>K5/$D$5</f>
        <v/>
      </c>
      <c r="M5" s="8" t="inlineStr">
        <is>
          <t>Latest sales - Block T4: 160 units, Block T5: 133 units, Block T6: 197 units, Block T7: 136 units, Block T8: 124 units</t>
        </is>
      </c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0" t="n"/>
      <c r="H6" s="10" t="n">
        <v>982</v>
      </c>
      <c r="I6" s="11">
        <f>H6/$D$6</f>
        <v/>
      </c>
      <c r="J6" s="12">
        <f>K6-H6</f>
        <v/>
      </c>
      <c r="K6" s="12" t="n">
        <v>993</v>
      </c>
      <c r="L6" s="13">
        <f>K6/$D$6</f>
        <v/>
      </c>
      <c r="M6" s="8" t="inlineStr">
        <is>
          <t>Latest sales - Block A: 409 units, Block B: 386 units, Block C: 89 units, Block D: 109 units</t>
        </is>
      </c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0" t="n"/>
      <c r="H7" s="10" t="n">
        <v>1365</v>
      </c>
      <c r="I7" s="11">
        <f>H7/$D$7</f>
        <v/>
      </c>
      <c r="J7" s="12">
        <f>K7-H7</f>
        <v/>
      </c>
      <c r="K7" s="12" t="n">
        <v>1365</v>
      </c>
      <c r="L7" s="13">
        <f>K7/$D$7</f>
        <v/>
      </c>
      <c r="M7" s="8" t="inlineStr">
        <is>
          <t>Latest sales - Block D: 296 units, Block E: 367 units, Block F: 373 units, Block G: 329 units</t>
        </is>
      </c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0" t="n"/>
      <c r="H8" s="10" t="n">
        <v>138</v>
      </c>
      <c r="I8" s="11">
        <f>H8/$D$8</f>
        <v/>
      </c>
      <c r="J8" s="12">
        <f>K8-H8</f>
        <v/>
      </c>
      <c r="K8" s="12" t="n">
        <v>139</v>
      </c>
      <c r="L8" s="13">
        <f>K8/$D$8</f>
        <v/>
      </c>
      <c r="M8" s="8" t="inlineStr">
        <is>
          <t>Latest sales - Block C: 55 units, Block D: 84 units</t>
        </is>
      </c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/>
      <c r="F9" s="8" t="inlineStr"/>
      <c r="G9" s="10" t="n"/>
      <c r="H9" s="10" t="n"/>
      <c r="I9" s="11" t="n"/>
      <c r="J9" s="12" t="n"/>
      <c r="K9" s="12" t="n"/>
      <c r="L9" s="13" t="n"/>
      <c r="M9" s="8" t="inlineStr">
        <is>
          <t>Not launched yet.</t>
        </is>
      </c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0" t="n"/>
      <c r="H10" s="10" t="n">
        <v>111</v>
      </c>
      <c r="I10" s="11">
        <f>H10/$D$10</f>
        <v/>
      </c>
      <c r="J10" s="12">
        <f>K10-H10</f>
        <v/>
      </c>
      <c r="K10" s="12" t="n">
        <v>114</v>
      </c>
      <c r="L10" s="13">
        <f>K10/$D$10</f>
        <v/>
      </c>
      <c r="M10" s="8" t="inlineStr">
        <is>
          <t>Latest sales - Block L: 114 units</t>
        </is>
      </c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0" t="n"/>
      <c r="H11" s="10" t="n">
        <v>984</v>
      </c>
      <c r="I11" s="11">
        <f>H11/$D$11</f>
        <v/>
      </c>
      <c r="J11" s="12">
        <f>K11-H11</f>
        <v/>
      </c>
      <c r="K11" s="12" t="n">
        <v>987</v>
      </c>
      <c r="L11" s="13">
        <f>K11/$D$11</f>
        <v/>
      </c>
      <c r="M11" s="8" t="inlineStr">
        <is>
          <t>Latest sales - Block A: 519 units, Block B: 468 units</t>
        </is>
      </c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0" t="n"/>
      <c r="H12" s="10" t="n">
        <v>63</v>
      </c>
      <c r="I12" s="11">
        <f>H12/$D$12</f>
        <v/>
      </c>
      <c r="J12" s="12">
        <f>K12-H12</f>
        <v/>
      </c>
      <c r="K12" s="12" t="n">
        <v>63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0" t="n"/>
      <c r="H13" s="10" t="n">
        <v>91</v>
      </c>
      <c r="I13" s="11">
        <f>H13/$D$13</f>
        <v/>
      </c>
      <c r="J13" s="12">
        <f>K13-H13</f>
        <v/>
      </c>
      <c r="K13" s="12" t="n">
        <v>91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0" t="n"/>
      <c r="H14" s="10" t="n">
        <v>636</v>
      </c>
      <c r="I14" s="11">
        <f>H14/$D$14</f>
        <v/>
      </c>
      <c r="J14" s="12">
        <f>K14-H14</f>
        <v/>
      </c>
      <c r="K14" s="12" t="n">
        <v>646</v>
      </c>
      <c r="L14" s="13">
        <f>K14/$D$14</f>
        <v/>
      </c>
      <c r="M14" s="8" t="inlineStr">
        <is>
          <t>Latest sales - Block A: 237 units, Block B: 224 units, Block C: 185 units</t>
        </is>
      </c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0" t="n"/>
      <c r="H15" s="10" t="n">
        <v>236</v>
      </c>
      <c r="I15" s="11">
        <f>H15/$D$15</f>
        <v/>
      </c>
      <c r="J15" s="12">
        <f>K15-H15</f>
        <v/>
      </c>
      <c r="K15" s="12" t="n">
        <v>237</v>
      </c>
      <c r="L15" s="13">
        <f>K15/$D$15</f>
        <v/>
      </c>
      <c r="M15" s="8" t="inlineStr">
        <is>
          <t>Latest sales - Block L: 237 units</t>
        </is>
      </c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0" t="n"/>
      <c r="H16" s="10" t="n">
        <v>70</v>
      </c>
      <c r="I16" s="11">
        <f>H16/$D$16</f>
        <v/>
      </c>
      <c r="J16" s="12">
        <f>K16-H16</f>
        <v/>
      </c>
      <c r="K16" s="12" t="n">
        <v>70</v>
      </c>
      <c r="L16" s="13">
        <f>K16/$D$16</f>
        <v/>
      </c>
      <c r="M16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(PLATINUM VICTORY)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0" t="n"/>
      <c r="H5" s="10" t="n">
        <v>1672</v>
      </c>
      <c r="I5" s="11">
        <f>H5/$D$5</f>
        <v/>
      </c>
      <c r="J5" s="10">
        <f>K5-H5</f>
        <v/>
      </c>
      <c r="K5" s="10" t="n">
        <v>1674</v>
      </c>
      <c r="L5" s="11">
        <f>K5/$D$5</f>
        <v/>
      </c>
      <c r="M5" s="12">
        <f>N5-K5</f>
        <v/>
      </c>
      <c r="N5" s="12" t="n">
        <v>1679</v>
      </c>
      <c r="O5" s="13">
        <f>N5/$D$5</f>
        <v/>
      </c>
      <c r="P5" s="8" t="inlineStr">
        <is>
          <t>Latest sales - Block A: 868 units, Block B: 811 units</t>
        </is>
      </c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0" t="n"/>
      <c r="H6" s="10" t="n">
        <v>1206</v>
      </c>
      <c r="I6" s="11">
        <f>H6/$D$6</f>
        <v/>
      </c>
      <c r="J6" s="10">
        <f>K6-H6</f>
        <v/>
      </c>
      <c r="K6" s="10" t="n">
        <v>1218</v>
      </c>
      <c r="L6" s="11">
        <f>K6/$D$6</f>
        <v/>
      </c>
      <c r="M6" s="12">
        <f>N6-K6</f>
        <v/>
      </c>
      <c r="N6" s="12" t="n">
        <v>1223</v>
      </c>
      <c r="O6" s="13">
        <f>N6/$D$6</f>
        <v/>
      </c>
      <c r="P6" s="8" t="inlineStr">
        <is>
          <t>Latest sales - Block A: 477 units, Block B: 746 units</t>
        </is>
      </c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0" t="n"/>
      <c r="H7" s="10" t="n">
        <v>524</v>
      </c>
      <c r="I7" s="11">
        <f>H7/$D$7</f>
        <v/>
      </c>
      <c r="J7" s="10">
        <f>K7-H7</f>
        <v/>
      </c>
      <c r="K7" s="10" t="n">
        <v>527</v>
      </c>
      <c r="L7" s="11">
        <f>K7/$D$7</f>
        <v/>
      </c>
      <c r="M7" s="12">
        <f>N7-K7</f>
        <v/>
      </c>
      <c r="N7" s="12" t="n">
        <v>529</v>
      </c>
      <c r="O7" s="13">
        <f>N7/$D$7</f>
        <v/>
      </c>
      <c r="P7" s="8" t="inlineStr">
        <is>
          <t>Latest sales - Block A: 131 units, Block B: 166 units, Block C: 232 units</t>
        </is>
      </c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0" t="n"/>
      <c r="H8" s="10" t="n">
        <v>467</v>
      </c>
      <c r="I8" s="11">
        <f>H8/$D$8</f>
        <v/>
      </c>
      <c r="J8" s="10">
        <f>K8-H8</f>
        <v/>
      </c>
      <c r="K8" s="10" t="n">
        <v>467</v>
      </c>
      <c r="L8" s="11">
        <f>K8/$D$8</f>
        <v/>
      </c>
      <c r="M8" s="12">
        <f>N8-K8</f>
        <v/>
      </c>
      <c r="N8" s="12" t="n">
        <v>467</v>
      </c>
      <c r="O8" s="13">
        <f>N8/$D$8</f>
        <v/>
      </c>
      <c r="P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0" t="n"/>
      <c r="H9" s="10" t="n">
        <v>1163</v>
      </c>
      <c r="I9" s="11">
        <f>H9/$D$9</f>
        <v/>
      </c>
      <c r="J9" s="10">
        <f>K9-H9</f>
        <v/>
      </c>
      <c r="K9" s="10" t="n">
        <v>1169</v>
      </c>
      <c r="L9" s="11">
        <f>K9/$D$9</f>
        <v/>
      </c>
      <c r="M9" s="12">
        <f>N9-K9</f>
        <v/>
      </c>
      <c r="N9" s="12" t="n">
        <v>1173</v>
      </c>
      <c r="O9" s="13">
        <f>N9/$D$9</f>
        <v/>
      </c>
      <c r="P9" s="8" t="inlineStr">
        <is>
          <t>Latest sales - Block W: 606 units, Block X: 567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0" t="n"/>
      <c r="H10" s="10" t="n">
        <v>18</v>
      </c>
      <c r="I10" s="11">
        <f>H10/$D$10</f>
        <v/>
      </c>
      <c r="J10" s="10">
        <f>K10-H10</f>
        <v/>
      </c>
      <c r="K10" s="10" t="n">
        <v>18</v>
      </c>
      <c r="L10" s="11">
        <f>K10/$D$10</f>
        <v/>
      </c>
      <c r="M10" s="12">
        <f>N10-K10</f>
        <v/>
      </c>
      <c r="N10" s="12" t="n">
        <v>18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(RADIUM)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0" t="n"/>
      <c r="H5" s="10" t="n">
        <v>1128</v>
      </c>
      <c r="I5" s="11">
        <f>H5/$D$5</f>
        <v/>
      </c>
      <c r="J5" s="10">
        <f>K5-H5</f>
        <v/>
      </c>
      <c r="K5" s="10" t="n">
        <v>1130</v>
      </c>
      <c r="L5" s="11">
        <f>K5/$D$5</f>
        <v/>
      </c>
      <c r="M5" s="12">
        <f>N5-K5</f>
        <v/>
      </c>
      <c r="N5" s="12" t="n">
        <v>1132</v>
      </c>
      <c r="O5" s="13">
        <f>N5/$D$5</f>
        <v/>
      </c>
      <c r="P5" s="8" t="inlineStr">
        <is>
          <t>Latest sales - Block A: 182 units, Block B: 583 units, Block C: 366 units</t>
        </is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0" t="n"/>
      <c r="H6" s="10" t="n">
        <v>1124</v>
      </c>
      <c r="I6" s="11">
        <f>H6/$D$6</f>
        <v/>
      </c>
      <c r="J6" s="10">
        <f>K6-H6</f>
        <v/>
      </c>
      <c r="K6" s="10" t="n">
        <v>1130</v>
      </c>
      <c r="L6" s="11">
        <f>K6/$D$6</f>
        <v/>
      </c>
      <c r="M6" s="12">
        <f>N6-K6</f>
        <v/>
      </c>
      <c r="N6" s="12" t="n">
        <v>1133</v>
      </c>
      <c r="O6" s="13">
        <f>N6/$D$6</f>
        <v/>
      </c>
      <c r="P6" s="8" t="inlineStr">
        <is>
          <t>Latest sales - Block D: 603 units, Block E: 530 units</t>
        </is>
      </c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0" t="n"/>
      <c r="H7" s="10" t="n">
        <v>521</v>
      </c>
      <c r="I7" s="11">
        <f>H7/$D$7</f>
        <v/>
      </c>
      <c r="J7" s="10">
        <f>K7-H7</f>
        <v/>
      </c>
      <c r="K7" s="10" t="n">
        <v>525</v>
      </c>
      <c r="L7" s="11">
        <f>K7/$D$7</f>
        <v/>
      </c>
      <c r="M7" s="12">
        <f>N7-K7</f>
        <v/>
      </c>
      <c r="N7" s="12" t="n">
        <v>530</v>
      </c>
      <c r="O7" s="13">
        <f>N7/$D$7</f>
        <v/>
      </c>
      <c r="P7" s="8" t="inlineStr">
        <is>
          <t>Latest sales - Block A: 264 units, Block B: 266 units</t>
        </is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0" t="n"/>
      <c r="H8" s="10" t="n">
        <v>380</v>
      </c>
      <c r="I8" s="11">
        <f>H8/$D$8</f>
        <v/>
      </c>
      <c r="J8" s="10">
        <f>K8-H8</f>
        <v/>
      </c>
      <c r="K8" s="10" t="n">
        <v>383</v>
      </c>
      <c r="L8" s="11">
        <f>K8/$D$8</f>
        <v/>
      </c>
      <c r="M8" s="12">
        <f>N8-K8</f>
        <v/>
      </c>
      <c r="N8" s="12" t="n">
        <v>383</v>
      </c>
      <c r="O8" s="13">
        <f>N8/$D$8</f>
        <v/>
      </c>
      <c r="P8" s="8" t="inlineStr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0" t="n"/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2">
        <f>N9-K9</f>
        <v/>
      </c>
      <c r="N9" s="12" t="n">
        <v>6</v>
      </c>
      <c r="O9" s="13">
        <f>N9/$D$9</f>
        <v/>
      </c>
      <c r="P9" s="8" t="inlineStr">
        <is>
          <t>Latest sales - Block A: 6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M9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(SCIENTEX)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0" t="n"/>
      <c r="H5" s="10" t="n">
        <v>203</v>
      </c>
      <c r="I5" s="11">
        <f>H5/$D$5</f>
        <v/>
      </c>
      <c r="J5" s="12">
        <f>K5-H5</f>
        <v/>
      </c>
      <c r="K5" s="12" t="n">
        <v>203</v>
      </c>
      <c r="L5" s="13">
        <f>K5/$D$5</f>
        <v/>
      </c>
      <c r="M5" s="8" t="inlineStr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0" t="n"/>
      <c r="H6" s="10" t="n">
        <v>291</v>
      </c>
      <c r="I6" s="11">
        <f>H6/$D$6</f>
        <v/>
      </c>
      <c r="J6" s="12">
        <f>K6-H6</f>
        <v/>
      </c>
      <c r="K6" s="12" t="n">
        <v>291</v>
      </c>
      <c r="L6" s="13">
        <f>K6/$D$6</f>
        <v/>
      </c>
      <c r="M6" s="8" t="inlineStr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0" t="n"/>
      <c r="H7" s="10" t="n">
        <v>364</v>
      </c>
      <c r="I7" s="11">
        <f>H7/$D$7</f>
        <v/>
      </c>
      <c r="J7" s="12">
        <f>K7-H7</f>
        <v/>
      </c>
      <c r="K7" s="12" t="n">
        <v>364</v>
      </c>
      <c r="L7" s="13">
        <f>K7/$D$7</f>
        <v/>
      </c>
      <c r="M7" s="8" t="inlineStr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0" t="n"/>
      <c r="H8" s="10" t="n">
        <v>227</v>
      </c>
      <c r="I8" s="11">
        <f>H8/$D$8</f>
        <v/>
      </c>
      <c r="J8" s="12">
        <f>K8-H8</f>
        <v/>
      </c>
      <c r="K8" s="12" t="n">
        <v>227</v>
      </c>
      <c r="L8" s="13">
        <f>K8/$D$8</f>
        <v/>
      </c>
      <c r="M8" s="8" t="inlineStr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0" t="n"/>
      <c r="H9" s="10" t="n">
        <v>146</v>
      </c>
      <c r="I9" s="11">
        <f>H9/$D$9</f>
        <v/>
      </c>
      <c r="J9" s="12">
        <f>K9-H9</f>
        <v/>
      </c>
      <c r="K9" s="12" t="n">
        <v>146</v>
      </c>
      <c r="L9" s="13">
        <f>K9/$D$9</f>
        <v/>
      </c>
      <c r="M9" s="8" t="inlineStr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0" t="n"/>
      <c r="H10" s="10" t="n">
        <v>266</v>
      </c>
      <c r="I10" s="11">
        <f>H10/$D$10</f>
        <v/>
      </c>
      <c r="J10" s="12">
        <f>K10-H10</f>
        <v/>
      </c>
      <c r="K10" s="12" t="n">
        <v>266</v>
      </c>
      <c r="L10" s="13">
        <f>K10/$D$10</f>
        <v/>
      </c>
      <c r="M10" s="8" t="inlineStr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0" t="n"/>
      <c r="H11" s="10" t="n">
        <v>152</v>
      </c>
      <c r="I11" s="11">
        <f>H11/$D$11</f>
        <v/>
      </c>
      <c r="J11" s="12">
        <f>K11-H11</f>
        <v/>
      </c>
      <c r="K11" s="12" t="n">
        <v>155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0" t="n"/>
      <c r="H12" s="10" t="n">
        <v>255</v>
      </c>
      <c r="I12" s="11">
        <f>H12/$D$12</f>
        <v/>
      </c>
      <c r="J12" s="12">
        <f>K12-H12</f>
        <v/>
      </c>
      <c r="K12" s="12" t="n">
        <v>267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0" t="n"/>
      <c r="H13" s="10" t="n">
        <v>481</v>
      </c>
      <c r="I13" s="11">
        <f>H13/$D$13</f>
        <v/>
      </c>
      <c r="J13" s="12">
        <f>K13-H13</f>
        <v/>
      </c>
      <c r="K13" s="12" t="n">
        <v>481</v>
      </c>
      <c r="L13" s="13">
        <f>K13/$D$13</f>
        <v/>
      </c>
      <c r="M13" s="8" t="inlineStr">
        <is>
          <t>Latest sales - Block A: 239 units, Block B: 242 units</t>
        </is>
      </c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0" t="n"/>
      <c r="H14" s="10" t="n">
        <v>325</v>
      </c>
      <c r="I14" s="11">
        <f>H14/$D$14</f>
        <v/>
      </c>
      <c r="J14" s="12">
        <f>K14-H14</f>
        <v/>
      </c>
      <c r="K14" s="12" t="n">
        <v>327</v>
      </c>
      <c r="L14" s="13">
        <f>K14/$D$14</f>
        <v/>
      </c>
      <c r="M14" s="8" t="inlineStr">
        <is>
          <t>Latest sales - Block A: 171 units, Block B: 156 units</t>
        </is>
      </c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0" t="n"/>
      <c r="H15" s="10" t="n">
        <v>147</v>
      </c>
      <c r="I15" s="11">
        <f>H15/$D$15</f>
        <v/>
      </c>
      <c r="J15" s="12">
        <f>K15-H15</f>
        <v/>
      </c>
      <c r="K15" s="12" t="n">
        <v>150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0" t="n"/>
      <c r="H16" s="10" t="n">
        <v>253</v>
      </c>
      <c r="I16" s="11">
        <f>H16/$D$16</f>
        <v/>
      </c>
      <c r="J16" s="12">
        <f>K16-H16</f>
        <v/>
      </c>
      <c r="K16" s="12" t="n">
        <v>256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0" t="n"/>
      <c r="H17" s="10" t="n">
        <v>258</v>
      </c>
      <c r="I17" s="11">
        <f>H17/$D$17</f>
        <v/>
      </c>
      <c r="J17" s="12">
        <f>K17-H17</f>
        <v/>
      </c>
      <c r="K17" s="12" t="n">
        <v>260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0" t="n"/>
      <c r="H18" s="10" t="n">
        <v>182</v>
      </c>
      <c r="I18" s="11">
        <f>H18/$D$18</f>
        <v/>
      </c>
      <c r="J18" s="12">
        <f>K18-H18</f>
        <v/>
      </c>
      <c r="K18" s="12" t="n">
        <v>182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0" t="n"/>
      <c r="H19" s="10" t="n">
        <v>244</v>
      </c>
      <c r="I19" s="11">
        <f>H19/$D$19</f>
        <v/>
      </c>
      <c r="J19" s="12">
        <f>K19-H19</f>
        <v/>
      </c>
      <c r="K19" s="12" t="n">
        <v>244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0" t="n"/>
      <c r="H20" s="10" t="n">
        <v>242</v>
      </c>
      <c r="I20" s="11">
        <f>H20/$D$20</f>
        <v/>
      </c>
      <c r="J20" s="12">
        <f>K20-H20</f>
        <v/>
      </c>
      <c r="K20" s="12" t="n">
        <v>247</v>
      </c>
      <c r="L20" s="13">
        <f>K20/$D$20</f>
        <v/>
      </c>
      <c r="M20" s="8" t="inlineStr">
        <is>
          <t>Latest sales - Block A: 129 units, Block B: 118 units</t>
        </is>
      </c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0" t="n"/>
      <c r="H21" s="10" t="n">
        <v>169</v>
      </c>
      <c r="I21" s="11">
        <f>H21/$D$21</f>
        <v/>
      </c>
      <c r="J21" s="12">
        <f>K21-H21</f>
        <v/>
      </c>
      <c r="K21" s="12" t="n">
        <v>169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0" t="n"/>
      <c r="H22" s="10" t="n">
        <v>204</v>
      </c>
      <c r="I22" s="11">
        <f>H22/$D$22</f>
        <v/>
      </c>
      <c r="J22" s="12">
        <f>K22-H22</f>
        <v/>
      </c>
      <c r="K22" s="12" t="n">
        <v>204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0" t="n"/>
      <c r="H23" s="10" t="n">
        <v>128</v>
      </c>
      <c r="I23" s="11">
        <f>H23/$D$23</f>
        <v/>
      </c>
      <c r="J23" s="12">
        <f>K23-H23</f>
        <v/>
      </c>
      <c r="K23" s="12" t="n">
        <v>132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0" t="n"/>
      <c r="H24" s="10" t="n">
        <v>100</v>
      </c>
      <c r="I24" s="11">
        <f>H24/$D$24</f>
        <v/>
      </c>
      <c r="J24" s="12">
        <f>K24-H24</f>
        <v/>
      </c>
      <c r="K24" s="12" t="n">
        <v>100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0" t="n"/>
      <c r="H25" s="10" t="n">
        <v>468</v>
      </c>
      <c r="I25" s="11">
        <f>H25/$D$25</f>
        <v/>
      </c>
      <c r="J25" s="12">
        <f>K25-H25</f>
        <v/>
      </c>
      <c r="K25" s="12" t="n">
        <v>468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0" t="n"/>
      <c r="H26" s="10" t="n">
        <v>396</v>
      </c>
      <c r="I26" s="11">
        <f>H26/$D$26</f>
        <v/>
      </c>
      <c r="J26" s="12">
        <f>K26-H26</f>
        <v/>
      </c>
      <c r="K26" s="12" t="n">
        <v>396</v>
      </c>
      <c r="L26" s="13">
        <f>K26/$D$26</f>
        <v/>
      </c>
      <c r="M26" s="8" t="inlineStr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0" t="n"/>
      <c r="H27" s="10" t="n">
        <v>267</v>
      </c>
      <c r="I27" s="11">
        <f>H27/$D$27</f>
        <v/>
      </c>
      <c r="J27" s="12">
        <f>K27-H27</f>
        <v/>
      </c>
      <c r="K27" s="12" t="n">
        <v>268</v>
      </c>
      <c r="L27" s="13">
        <f>K27/$D$27</f>
        <v/>
      </c>
      <c r="M27" s="8" t="inlineStr">
        <is>
          <t>Latest sales - Block A: 161 units, Block B: 107 units</t>
        </is>
      </c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0" t="n"/>
      <c r="H28" s="10" t="n">
        <v>213</v>
      </c>
      <c r="I28" s="11">
        <f>H28/$D$28</f>
        <v/>
      </c>
      <c r="J28" s="12">
        <f>K28-H28</f>
        <v/>
      </c>
      <c r="K28" s="12" t="n">
        <v>213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0" t="n"/>
      <c r="H29" s="10" t="n">
        <v>312</v>
      </c>
      <c r="I29" s="11">
        <f>H29/$D$29</f>
        <v/>
      </c>
      <c r="J29" s="12">
        <f>K29-H29</f>
        <v/>
      </c>
      <c r="K29" s="12" t="n">
        <v>312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0" t="n"/>
      <c r="H30" s="10" t="n">
        <v>85</v>
      </c>
      <c r="I30" s="11">
        <f>H30/$D$30</f>
        <v/>
      </c>
      <c r="J30" s="12">
        <f>K30-H30</f>
        <v/>
      </c>
      <c r="K30" s="12" t="n">
        <v>89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0" t="n"/>
      <c r="H31" s="10" t="n">
        <v>204</v>
      </c>
      <c r="I31" s="11">
        <f>H31/$D$31</f>
        <v/>
      </c>
      <c r="J31" s="12">
        <f>K31-H31</f>
        <v/>
      </c>
      <c r="K31" s="12" t="n">
        <v>204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0" t="n"/>
      <c r="H32" s="10" t="n">
        <v>232</v>
      </c>
      <c r="I32" s="11">
        <f>H32/$D$32</f>
        <v/>
      </c>
      <c r="J32" s="12">
        <f>K32-H32</f>
        <v/>
      </c>
      <c r="K32" s="12" t="n">
        <v>232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0" t="n"/>
      <c r="H33" s="10" t="n">
        <v>195</v>
      </c>
      <c r="I33" s="11">
        <f>H33/$D$33</f>
        <v/>
      </c>
      <c r="J33" s="12">
        <f>K33-H33</f>
        <v/>
      </c>
      <c r="K33" s="12" t="n">
        <v>197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0" t="n"/>
      <c r="H34" s="10" t="n">
        <v>185</v>
      </c>
      <c r="I34" s="11">
        <f>H34/$D$34</f>
        <v/>
      </c>
      <c r="J34" s="12">
        <f>K34-H34</f>
        <v/>
      </c>
      <c r="K34" s="12" t="n">
        <v>186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0" t="n"/>
      <c r="H35" s="10" t="n">
        <v>96</v>
      </c>
      <c r="I35" s="11">
        <f>H35/$D$35</f>
        <v/>
      </c>
      <c r="J35" s="12">
        <f>K35-H35</f>
        <v/>
      </c>
      <c r="K35" s="12" t="n">
        <v>97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0" t="n"/>
      <c r="H36" s="10" t="n">
        <v>164</v>
      </c>
      <c r="I36" s="11">
        <f>H36/$D$36</f>
        <v/>
      </c>
      <c r="J36" s="12">
        <f>K36-H36</f>
        <v/>
      </c>
      <c r="K36" s="12" t="n">
        <v>169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0" t="n"/>
      <c r="H37" s="10" t="n">
        <v>137</v>
      </c>
      <c r="I37" s="11">
        <f>H37/$D$37</f>
        <v/>
      </c>
      <c r="J37" s="12">
        <f>K37-H37</f>
        <v/>
      </c>
      <c r="K37" s="12" t="n">
        <v>145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0" t="n"/>
      <c r="H38" s="10" t="n">
        <v>0</v>
      </c>
      <c r="I38" s="11">
        <f>H38/$D$38</f>
        <v/>
      </c>
      <c r="J38" s="12">
        <f>K38-H38</f>
        <v/>
      </c>
      <c r="K38" s="12" t="n">
        <v>0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0" t="n"/>
      <c r="H39" s="10" t="n">
        <v>205</v>
      </c>
      <c r="I39" s="11">
        <f>H39/$D$39</f>
        <v/>
      </c>
      <c r="J39" s="12">
        <f>K39-H39</f>
        <v/>
      </c>
      <c r="K39" s="12" t="n">
        <v>205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0" t="n"/>
      <c r="H40" s="10" t="n">
        <v>516</v>
      </c>
      <c r="I40" s="11">
        <f>H40/$D$40</f>
        <v/>
      </c>
      <c r="J40" s="12">
        <f>K40-H40</f>
        <v/>
      </c>
      <c r="K40" s="12" t="n">
        <v>516</v>
      </c>
      <c r="L40" s="13">
        <f>K40/$D$40</f>
        <v/>
      </c>
      <c r="M40" s="8" t="inlineStr">
        <is>
          <t>Latest sales - Block A: 169 units, Block B: 173 units, Block C: 174 units</t>
        </is>
      </c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0" t="n"/>
      <c r="H41" s="10" t="n">
        <v>210</v>
      </c>
      <c r="I41" s="11">
        <f>H41/$D$41</f>
        <v/>
      </c>
      <c r="J41" s="12">
        <f>K41-H41</f>
        <v/>
      </c>
      <c r="K41" s="12" t="n">
        <v>210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0" t="n"/>
      <c r="H42" s="10" t="n">
        <v>215</v>
      </c>
      <c r="I42" s="11">
        <f>H42/$D$42</f>
        <v/>
      </c>
      <c r="J42" s="12">
        <f>K42-H42</f>
        <v/>
      </c>
      <c r="K42" s="12" t="n">
        <v>215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0" t="n"/>
      <c r="H43" s="10" t="n">
        <v>520</v>
      </c>
      <c r="I43" s="11">
        <f>H43/$D$43</f>
        <v/>
      </c>
      <c r="J43" s="12">
        <f>K43-H43</f>
        <v/>
      </c>
      <c r="K43" s="12" t="n">
        <v>520</v>
      </c>
      <c r="L43" s="13">
        <f>K43/$D$43</f>
        <v/>
      </c>
      <c r="M43" s="8" t="inlineStr">
        <is>
          <t>Latest sales - Block D: 173 units, Block E: 173 units, Block F: 174 units</t>
        </is>
      </c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0" t="n"/>
      <c r="H44" s="10" t="n">
        <v>114</v>
      </c>
      <c r="I44" s="11">
        <f>H44/$D$44</f>
        <v/>
      </c>
      <c r="J44" s="12">
        <f>K44-H44</f>
        <v/>
      </c>
      <c r="K44" s="12" t="n">
        <v>114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0" t="n"/>
      <c r="H45" s="10" t="n">
        <v>252</v>
      </c>
      <c r="I45" s="11">
        <f>H45/$D$45</f>
        <v/>
      </c>
      <c r="J45" s="12">
        <f>K45-H45</f>
        <v/>
      </c>
      <c r="K45" s="12" t="n">
        <v>252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0" t="n"/>
      <c r="H46" s="10" t="n">
        <v>207</v>
      </c>
      <c r="I46" s="11">
        <f>H46/$D$46</f>
        <v/>
      </c>
      <c r="J46" s="12">
        <f>K46-H46</f>
        <v/>
      </c>
      <c r="K46" s="12" t="n">
        <v>207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0" t="n"/>
      <c r="H47" s="10" t="n">
        <v>218</v>
      </c>
      <c r="I47" s="11">
        <f>H47/$D$47</f>
        <v/>
      </c>
      <c r="J47" s="12">
        <f>K47-H47</f>
        <v/>
      </c>
      <c r="K47" s="12" t="n">
        <v>221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0" t="n"/>
      <c r="H48" s="10" t="n">
        <v>117</v>
      </c>
      <c r="I48" s="11">
        <f>H48/$D$48</f>
        <v/>
      </c>
      <c r="J48" s="12">
        <f>K48-H48</f>
        <v/>
      </c>
      <c r="K48" s="12" t="n">
        <v>117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0" t="n"/>
      <c r="H49" s="10" t="n">
        <v>73</v>
      </c>
      <c r="I49" s="11">
        <f>H49/$D$49</f>
        <v/>
      </c>
      <c r="J49" s="12">
        <f>K49-H49</f>
        <v/>
      </c>
      <c r="K49" s="12" t="n">
        <v>78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0" t="n"/>
      <c r="H50" s="10" t="n">
        <v>200</v>
      </c>
      <c r="I50" s="11">
        <f>H50/$D$50</f>
        <v/>
      </c>
      <c r="J50" s="12">
        <f>K50-H50</f>
        <v/>
      </c>
      <c r="K50" s="12" t="n">
        <v>200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0" t="n"/>
      <c r="H51" s="10" t="n">
        <v>97</v>
      </c>
      <c r="I51" s="11">
        <f>H51/$D$51</f>
        <v/>
      </c>
      <c r="J51" s="12">
        <f>K51-H51</f>
        <v/>
      </c>
      <c r="K51" s="12" t="n">
        <v>97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0" t="n"/>
      <c r="H52" s="10" t="n">
        <v>257</v>
      </c>
      <c r="I52" s="11">
        <f>H52/$D$52</f>
        <v/>
      </c>
      <c r="J52" s="12">
        <f>K52-H52</f>
        <v/>
      </c>
      <c r="K52" s="12" t="n">
        <v>257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0" t="n"/>
      <c r="H53" s="10" t="n">
        <v>197</v>
      </c>
      <c r="I53" s="11">
        <f>H53/$D$53</f>
        <v/>
      </c>
      <c r="J53" s="12">
        <f>K53-H53</f>
        <v/>
      </c>
      <c r="K53" s="12" t="n">
        <v>198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0" t="n"/>
      <c r="H54" s="10" t="n">
        <v>46</v>
      </c>
      <c r="I54" s="11">
        <f>H54/$D$54</f>
        <v/>
      </c>
      <c r="J54" s="12">
        <f>K54-H54</f>
        <v/>
      </c>
      <c r="K54" s="12" t="n">
        <v>46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0" t="n"/>
      <c r="H55" s="10" t="n">
        <v>87</v>
      </c>
      <c r="I55" s="11">
        <f>H55/$D$55</f>
        <v/>
      </c>
      <c r="J55" s="12">
        <f>K55-H55</f>
        <v/>
      </c>
      <c r="K55" s="12" t="n">
        <v>89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0" t="n"/>
      <c r="H56" s="10" t="n">
        <v>235</v>
      </c>
      <c r="I56" s="11">
        <f>H56/$D$56</f>
        <v/>
      </c>
      <c r="J56" s="12">
        <f>K56-H56</f>
        <v/>
      </c>
      <c r="K56" s="12" t="n">
        <v>235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0" t="n"/>
      <c r="H57" s="10" t="n">
        <v>88</v>
      </c>
      <c r="I57" s="11">
        <f>H57/$D$57</f>
        <v/>
      </c>
      <c r="J57" s="12">
        <f>K57-H57</f>
        <v/>
      </c>
      <c r="K57" s="12" t="n">
        <v>91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0" t="n"/>
      <c r="H58" s="10" t="n">
        <v>186</v>
      </c>
      <c r="I58" s="11">
        <f>H58/$D$58</f>
        <v/>
      </c>
      <c r="J58" s="12">
        <f>K58-H58</f>
        <v/>
      </c>
      <c r="K58" s="12" t="n">
        <v>187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0" t="n"/>
      <c r="H59" s="10" t="n">
        <v>133</v>
      </c>
      <c r="I59" s="11">
        <f>H59/$D$59</f>
        <v/>
      </c>
      <c r="J59" s="12">
        <f>K59-H59</f>
        <v/>
      </c>
      <c r="K59" s="12" t="n">
        <v>138</v>
      </c>
      <c r="L59" s="13">
        <f>K59/$D$59</f>
        <v/>
      </c>
      <c r="M59" s="8" t="inlineStr">
        <is>
          <t>Latest sales - Block F: 21 units, Block G: 117 units</t>
        </is>
      </c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0" t="n"/>
      <c r="H60" s="10" t="n">
        <v>22</v>
      </c>
      <c r="I60" s="11">
        <f>H60/$D$60</f>
        <v/>
      </c>
      <c r="J60" s="12">
        <f>K60-H60</f>
        <v/>
      </c>
      <c r="K60" s="12" t="n">
        <v>27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0" t="n"/>
      <c r="H61" s="10" t="n">
        <v>211</v>
      </c>
      <c r="I61" s="11">
        <f>H61/$D$61</f>
        <v/>
      </c>
      <c r="J61" s="12">
        <f>K61-H61</f>
        <v/>
      </c>
      <c r="K61" s="12" t="n">
        <v>211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0" t="n"/>
      <c r="H62" s="10" t="n">
        <v>291</v>
      </c>
      <c r="I62" s="11">
        <f>H62/$D$62</f>
        <v/>
      </c>
      <c r="J62" s="12">
        <f>K62-H62</f>
        <v/>
      </c>
      <c r="K62" s="12" t="n">
        <v>291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0" t="n"/>
      <c r="H63" s="10" t="n">
        <v>202</v>
      </c>
      <c r="I63" s="11">
        <f>H63/$D$63</f>
        <v/>
      </c>
      <c r="J63" s="12">
        <f>K63-H63</f>
        <v/>
      </c>
      <c r="K63" s="12" t="n">
        <v>202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0" t="n"/>
      <c r="H64" s="10" t="n">
        <v>132</v>
      </c>
      <c r="I64" s="11">
        <f>H64/$D$64</f>
        <v/>
      </c>
      <c r="J64" s="12">
        <f>K64-H64</f>
        <v/>
      </c>
      <c r="K64" s="12" t="n">
        <v>132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0" t="n"/>
      <c r="H65" s="10" t="n">
        <v>284</v>
      </c>
      <c r="I65" s="11">
        <f>H65/$D$65</f>
        <v/>
      </c>
      <c r="J65" s="12">
        <f>K65-H65</f>
        <v/>
      </c>
      <c r="K65" s="12" t="n">
        <v>283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0" t="n"/>
      <c r="H66" s="10" t="n">
        <v>316</v>
      </c>
      <c r="I66" s="11">
        <f>H66/$D$66</f>
        <v/>
      </c>
      <c r="J66" s="12">
        <f>K66-H66</f>
        <v/>
      </c>
      <c r="K66" s="12" t="n">
        <v>316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0" t="n"/>
      <c r="H67" s="10" t="n">
        <v>342</v>
      </c>
      <c r="I67" s="11">
        <f>H67/$D$67</f>
        <v/>
      </c>
      <c r="J67" s="12">
        <f>K67-H67</f>
        <v/>
      </c>
      <c r="K67" s="12" t="n">
        <v>342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0" t="n"/>
      <c r="H68" s="10" t="n">
        <v>272</v>
      </c>
      <c r="I68" s="11">
        <f>H68/$D$68</f>
        <v/>
      </c>
      <c r="J68" s="12">
        <f>K68-H68</f>
        <v/>
      </c>
      <c r="K68" s="12" t="n">
        <v>272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0" t="n"/>
      <c r="H69" s="10" t="n">
        <v>235</v>
      </c>
      <c r="I69" s="11">
        <f>H69/$D$69</f>
        <v/>
      </c>
      <c r="J69" s="12">
        <f>K69-H69</f>
        <v/>
      </c>
      <c r="K69" s="12" t="n">
        <v>235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0" t="n"/>
      <c r="H70" s="10" t="n">
        <v>253</v>
      </c>
      <c r="I70" s="11">
        <f>H70/$D$70</f>
        <v/>
      </c>
      <c r="J70" s="12">
        <f>K70-H70</f>
        <v/>
      </c>
      <c r="K70" s="12" t="n">
        <v>253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0" t="n"/>
      <c r="H71" s="10" t="n">
        <v>256</v>
      </c>
      <c r="I71" s="11">
        <f>H71/$D$71</f>
        <v/>
      </c>
      <c r="J71" s="12">
        <f>K71-H71</f>
        <v/>
      </c>
      <c r="K71" s="12" t="n">
        <v>256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0" t="n"/>
      <c r="H72" s="10" t="n">
        <v>212</v>
      </c>
      <c r="I72" s="11">
        <f>H72/$D$72</f>
        <v/>
      </c>
      <c r="J72" s="12">
        <f>K72-H72</f>
        <v/>
      </c>
      <c r="K72" s="12" t="n">
        <v>212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0" t="n"/>
      <c r="H73" s="10" t="n">
        <v>306</v>
      </c>
      <c r="I73" s="11">
        <f>H73/$D$73</f>
        <v/>
      </c>
      <c r="J73" s="12">
        <f>K73-H73</f>
        <v/>
      </c>
      <c r="K73" s="12" t="n">
        <v>306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6575-18,6575-19,6575-21</t>
        </is>
      </c>
      <c r="F74" s="8" t="inlineStr">
        <is>
          <t>SCIENTEX HEIGHTS SDN. BHD.</t>
        </is>
      </c>
      <c r="G74" s="10" t="n"/>
      <c r="H74" s="10" t="n">
        <v>730</v>
      </c>
      <c r="I74" s="11">
        <f>H74/$D$74</f>
        <v/>
      </c>
      <c r="J74" s="12">
        <f>K74-H74</f>
        <v/>
      </c>
      <c r="K74" s="12" t="n">
        <v>730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0" t="n"/>
      <c r="H75" s="10" t="n">
        <v>122</v>
      </c>
      <c r="I75" s="11">
        <f>H75/$D$75</f>
        <v/>
      </c>
      <c r="J75" s="12">
        <f>K75-H75</f>
        <v/>
      </c>
      <c r="K75" s="12" t="n">
        <v>122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0" t="n"/>
      <c r="H76" s="10" t="n">
        <v>361</v>
      </c>
      <c r="I76" s="11">
        <f>H76/$D$76</f>
        <v/>
      </c>
      <c r="J76" s="12">
        <f>K76-H76</f>
        <v/>
      </c>
      <c r="K76" s="12" t="n">
        <v>361</v>
      </c>
      <c r="L76" s="13">
        <f>K76/$D$76</f>
        <v/>
      </c>
      <c r="M76" s="8" t="inlineStr">
        <is>
          <t>Latest sales - Block A: 182 units, Block B: 179 units</t>
        </is>
      </c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0" t="n"/>
      <c r="H77" s="10" t="n">
        <v>278</v>
      </c>
      <c r="I77" s="11">
        <f>H77/$D$77</f>
        <v/>
      </c>
      <c r="J77" s="12">
        <f>K77-H77</f>
        <v/>
      </c>
      <c r="K77" s="12" t="n">
        <v>278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0" t="n"/>
      <c r="H78" s="10" t="n">
        <v>74</v>
      </c>
      <c r="I78" s="11">
        <f>H78/$D$78</f>
        <v/>
      </c>
      <c r="J78" s="12">
        <f>K78-H78</f>
        <v/>
      </c>
      <c r="K78" s="12" t="n">
        <v>74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0" t="n"/>
      <c r="H79" s="10" t="n">
        <v>614</v>
      </c>
      <c r="I79" s="11">
        <f>H79/$D$79</f>
        <v/>
      </c>
      <c r="J79" s="12">
        <f>K79-H79</f>
        <v/>
      </c>
      <c r="K79" s="12" t="n">
        <v>614</v>
      </c>
      <c r="L79" s="13">
        <f>K79/$D$79</f>
        <v/>
      </c>
      <c r="M79" s="8" t="inlineStr">
        <is>
          <t>Latest sales - Block A: 204 units, Block B: 204 units, Block C: 206 units</t>
        </is>
      </c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0" t="n"/>
      <c r="H80" s="10" t="n">
        <v>300</v>
      </c>
      <c r="I80" s="11">
        <f>H80/$D$80</f>
        <v/>
      </c>
      <c r="J80" s="12">
        <f>K80-H80</f>
        <v/>
      </c>
      <c r="K80" s="12" t="n">
        <v>300</v>
      </c>
      <c r="L80" s="13">
        <f>K80/$D$80</f>
        <v/>
      </c>
      <c r="M80" s="8" t="inlineStr">
        <is>
          <t>Latest sales - Block A: 150 units, Block B: 150 units</t>
        </is>
      </c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0" t="n"/>
      <c r="H81" s="10" t="n">
        <v>304</v>
      </c>
      <c r="I81" s="11">
        <f>H81/$D$81</f>
        <v/>
      </c>
      <c r="J81" s="12">
        <f>K81-H81</f>
        <v/>
      </c>
      <c r="K81" s="12" t="n">
        <v>304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0" t="n"/>
      <c r="H82" s="10" t="n">
        <v>70</v>
      </c>
      <c r="I82" s="11">
        <f>H82/$D$82</f>
        <v/>
      </c>
      <c r="J82" s="12">
        <f>K82-H82</f>
        <v/>
      </c>
      <c r="K82" s="12" t="n">
        <v>70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0" t="n"/>
      <c r="H83" s="10" t="n">
        <v>238</v>
      </c>
      <c r="I83" s="11">
        <f>H83/$D$83</f>
        <v/>
      </c>
      <c r="J83" s="12">
        <f>K83-H83</f>
        <v/>
      </c>
      <c r="K83" s="12" t="n">
        <v>238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0" t="n"/>
      <c r="H84" s="10" t="n">
        <v>120</v>
      </c>
      <c r="I84" s="11">
        <f>H84/$D$84</f>
        <v/>
      </c>
      <c r="J84" s="12">
        <f>K84-H84</f>
        <v/>
      </c>
      <c r="K84" s="12" t="n">
        <v>120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0" t="n"/>
      <c r="H85" s="10" t="n">
        <v>0</v>
      </c>
      <c r="I85" s="11">
        <f>H85/$D$85</f>
        <v/>
      </c>
      <c r="J85" s="12">
        <f>K85-H85</f>
        <v/>
      </c>
      <c r="K85" s="12" t="n">
        <v>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9294-45,9294-55,9294-58</t>
        </is>
      </c>
      <c r="F86" s="8" t="inlineStr">
        <is>
          <t>SCIENTEX QUATARI SDN. BHD.</t>
        </is>
      </c>
      <c r="G86" s="10" t="n"/>
      <c r="H86" s="10" t="n">
        <v>472</v>
      </c>
      <c r="I86" s="11">
        <f>H86/$D$86</f>
        <v/>
      </c>
      <c r="J86" s="12">
        <f>K86-H86</f>
        <v/>
      </c>
      <c r="K86" s="12" t="n">
        <v>472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6575-34,6575-36</t>
        </is>
      </c>
      <c r="F87" s="8" t="inlineStr">
        <is>
          <t>SCIENTEX HEIGHTS SDN. BHD.</t>
        </is>
      </c>
      <c r="G87" s="10" t="n"/>
      <c r="H87" s="10" t="n">
        <v>452</v>
      </c>
      <c r="I87" s="11">
        <f>H87/$D$87</f>
        <v/>
      </c>
      <c r="J87" s="12">
        <f>K87-H87</f>
        <v/>
      </c>
      <c r="K87" s="12" t="n">
        <v>452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6575-33,6575-37,6575-41</t>
        </is>
      </c>
      <c r="F88" s="8" t="inlineStr">
        <is>
          <t>SCIENTEX HEIGHTS SDN. BHD.</t>
        </is>
      </c>
      <c r="G88" s="10" t="n"/>
      <c r="H88" s="10" t="n">
        <v>498</v>
      </c>
      <c r="I88" s="11">
        <f>H88/$D$88</f>
        <v/>
      </c>
      <c r="J88" s="12">
        <f>K88-H88</f>
        <v/>
      </c>
      <c r="K88" s="12" t="n">
        <v>498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6575-20,6575-22,6575-32</t>
        </is>
      </c>
      <c r="F89" s="8" t="inlineStr">
        <is>
          <t>SCIENTEX HEIGHTS SDN. BHD.</t>
        </is>
      </c>
      <c r="G89" s="10" t="n"/>
      <c r="H89" s="10" t="n">
        <v>627</v>
      </c>
      <c r="I89" s="11">
        <f>H89/$D$89</f>
        <v/>
      </c>
      <c r="J89" s="12">
        <f>K89-H89</f>
        <v/>
      </c>
      <c r="K89" s="12" t="n">
        <v>627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0" t="n"/>
      <c r="H90" s="10" t="n">
        <v>301</v>
      </c>
      <c r="I90" s="11">
        <f>H90/$D$90</f>
        <v/>
      </c>
      <c r="J90" s="12">
        <f>K90-H90</f>
        <v/>
      </c>
      <c r="K90" s="12" t="n">
        <v>301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0" t="n"/>
      <c r="H91" s="10" t="n">
        <v>258</v>
      </c>
      <c r="I91" s="11">
        <f>H91/$D$91</f>
        <v/>
      </c>
      <c r="J91" s="12">
        <f>K91-H91</f>
        <v/>
      </c>
      <c r="K91" s="12" t="n">
        <v>258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0" t="n"/>
      <c r="H92" s="10" t="n">
        <v>204</v>
      </c>
      <c r="I92" s="11">
        <f>H92/$D$92</f>
        <v/>
      </c>
      <c r="J92" s="12">
        <f>K92-H92</f>
        <v/>
      </c>
      <c r="K92" s="12" t="n">
        <v>203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0" t="n"/>
      <c r="H93" s="10" t="n">
        <v>261</v>
      </c>
      <c r="I93" s="11">
        <f>H93/$D$93</f>
        <v/>
      </c>
      <c r="J93" s="12">
        <f>K93-H93</f>
        <v/>
      </c>
      <c r="K93" s="12" t="n">
        <v>262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0" t="n"/>
      <c r="H94" s="10" t="n">
        <v>247</v>
      </c>
      <c r="I94" s="11">
        <f>H94/$D$94</f>
        <v/>
      </c>
      <c r="J94" s="12">
        <f>K94-H94</f>
        <v/>
      </c>
      <c r="K94" s="12" t="n">
        <v>256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0" t="n"/>
      <c r="H95" s="10" t="n">
        <v>117</v>
      </c>
      <c r="I95" s="11">
        <f>H95/$D$95</f>
        <v/>
      </c>
      <c r="J95" s="12">
        <f>K95-H95</f>
        <v/>
      </c>
      <c r="K95" s="12" t="n">
        <v>120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0" t="n"/>
      <c r="H96" s="10" t="n">
        <v>209</v>
      </c>
      <c r="I96" s="11">
        <f>H96/$D$96</f>
        <v/>
      </c>
      <c r="J96" s="12">
        <f>K96-H96</f>
        <v/>
      </c>
      <c r="K96" s="12" t="n">
        <v>209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M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(SETIA AWAN)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0" t="n"/>
      <c r="H5" s="10" t="n">
        <v>1910</v>
      </c>
      <c r="I5" s="11">
        <f>H5/$D$5</f>
        <v/>
      </c>
      <c r="J5" s="12">
        <f>K5-H5</f>
        <v/>
      </c>
      <c r="K5" s="12" t="n">
        <v>1910</v>
      </c>
      <c r="L5" s="13">
        <f>K5/$D$5</f>
        <v/>
      </c>
      <c r="M5" s="8" t="inlineStr">
        <is>
          <t>Latest sales - Block R: 1277 units, Block T: 633 units</t>
        </is>
      </c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0" t="n"/>
      <c r="H6" s="10" t="n">
        <v>1003</v>
      </c>
      <c r="I6" s="11">
        <f>H6/$D$6</f>
        <v/>
      </c>
      <c r="J6" s="12">
        <f>K6-H6</f>
        <v/>
      </c>
      <c r="K6" s="12" t="n">
        <v>1006</v>
      </c>
      <c r="L6" s="13">
        <f>K6/$D$6</f>
        <v/>
      </c>
      <c r="M6" s="8" t="inlineStr">
        <is>
          <t>Latest sales - Block M: 390 units, Block U: 616 units</t>
        </is>
      </c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0" t="n"/>
      <c r="H7" s="10" t="n">
        <v>225</v>
      </c>
      <c r="I7" s="11">
        <f>H7/$D$7</f>
        <v/>
      </c>
      <c r="J7" s="12">
        <f>K7-H7</f>
        <v/>
      </c>
      <c r="K7" s="12" t="n">
        <v>227</v>
      </c>
      <c r="L7" s="13">
        <f>K7/$D$7</f>
        <v/>
      </c>
      <c r="M7" s="8" t="inlineStr">
        <is>
          <t>Latest sales - Block A: 66 units, Block B: 32 units, Block C: 87 units, Block D: 42 units</t>
        </is>
      </c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0" t="n"/>
      <c r="H8" s="10" t="n">
        <v>367</v>
      </c>
      <c r="I8" s="11">
        <f>H8/$D$8</f>
        <v/>
      </c>
      <c r="J8" s="12">
        <f>K8-H8</f>
        <v/>
      </c>
      <c r="K8" s="12" t="n">
        <v>367</v>
      </c>
      <c r="L8" s="13">
        <f>K8/$D$8</f>
        <v/>
      </c>
      <c r="M8" s="8" t="inlineStr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0" t="n"/>
      <c r="H9" s="10" t="n">
        <v>82</v>
      </c>
      <c r="I9" s="11">
        <f>H9/$D$9</f>
        <v/>
      </c>
      <c r="J9" s="12">
        <f>K9-H9</f>
        <v/>
      </c>
      <c r="K9" s="12" t="n">
        <v>108</v>
      </c>
      <c r="L9" s="13">
        <f>K9/$D$9</f>
        <v/>
      </c>
      <c r="M9" s="8" t="inlineStr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0" t="n"/>
      <c r="H10" s="10" t="n">
        <v>829</v>
      </c>
      <c r="I10" s="11">
        <f>H10/$D$10</f>
        <v/>
      </c>
      <c r="J10" s="12">
        <f>K10-H10</f>
        <v/>
      </c>
      <c r="K10" s="12" t="n">
        <v>829</v>
      </c>
      <c r="L10" s="13">
        <f>K10/$D$10</f>
        <v/>
      </c>
      <c r="M10" s="8" t="inlineStr">
        <is>
          <t>Latest sales - Block A: 384 units, Block B: 445 units</t>
        </is>
      </c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0" t="n"/>
      <c r="H11" s="10" t="n">
        <v>355</v>
      </c>
      <c r="I11" s="11">
        <f>H11/$D$11</f>
        <v/>
      </c>
      <c r="J11" s="12">
        <f>K11-H11</f>
        <v/>
      </c>
      <c r="K11" s="12" t="n">
        <v>355</v>
      </c>
      <c r="L11" s="13">
        <f>K11/$D$11</f>
        <v/>
      </c>
      <c r="M11" s="8" t="inlineStr">
        <is>
          <t>Latest sales - Block C: 355 units</t>
        </is>
      </c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0" t="n"/>
      <c r="H12" s="10" t="n">
        <v>205</v>
      </c>
      <c r="I12" s="11">
        <f>H12/$D$12</f>
        <v/>
      </c>
      <c r="J12" s="12">
        <f>K12-H12</f>
        <v/>
      </c>
      <c r="K12" s="12" t="n">
        <v>206</v>
      </c>
      <c r="L12" s="13">
        <f>K12/$D$12</f>
        <v/>
      </c>
      <c r="M12" s="8" t="inlineStr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0" t="n"/>
      <c r="H13" s="10" t="n">
        <v>0</v>
      </c>
      <c r="I13" s="11">
        <f>H13/$D$13</f>
        <v/>
      </c>
      <c r="J13" s="12">
        <f>K13-H13</f>
        <v/>
      </c>
      <c r="K13" s="12" t="n">
        <v>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0" t="n"/>
      <c r="H14" s="10" t="n">
        <v>1043</v>
      </c>
      <c r="I14" s="11">
        <f>H14/$D$14</f>
        <v/>
      </c>
      <c r="J14" s="12">
        <f>K14-H14</f>
        <v/>
      </c>
      <c r="K14" s="12" t="n">
        <v>1071</v>
      </c>
      <c r="L14" s="13">
        <f>K14/$D$14</f>
        <v/>
      </c>
      <c r="M14" s="8" t="inlineStr">
        <is>
          <t>Latest sales - Block A: 157 units, Block B: 538 units, Block C: 90 units, Block D: 286 units</t>
        </is>
      </c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0" t="n"/>
      <c r="H15" s="10" t="n">
        <v>157</v>
      </c>
      <c r="I15" s="11">
        <f>H15/$D$15</f>
        <v/>
      </c>
      <c r="J15" s="12">
        <f>K15-H15</f>
        <v/>
      </c>
      <c r="K15" s="12" t="n">
        <v>159</v>
      </c>
      <c r="L15" s="13">
        <f>K15/$D$15</f>
        <v/>
      </c>
      <c r="M15" s="8" t="inlineStr">
        <is>
          <t>Latest sales - Block A: 46 units, Block B: 113 units</t>
        </is>
      </c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0" t="n"/>
      <c r="H16" s="10" t="n">
        <v>472</v>
      </c>
      <c r="I16" s="11">
        <f>H16/$D$16</f>
        <v/>
      </c>
      <c r="J16" s="12">
        <f>K16-H16</f>
        <v/>
      </c>
      <c r="K16" s="12" t="n">
        <v>472</v>
      </c>
      <c r="L16" s="13">
        <f>K16/$D$16</f>
        <v/>
      </c>
      <c r="M16" s="8" t="inlineStr">
        <is>
          <t>Latest sales - Block A: 110 units, Block B: 142 units, Block C: 79 units, Block D: 141 units</t>
        </is>
      </c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0" t="n"/>
      <c r="H17" s="10" t="n">
        <v>36</v>
      </c>
      <c r="I17" s="11">
        <f>H17/$D$17</f>
        <v/>
      </c>
      <c r="J17" s="12">
        <f>K17-H17</f>
        <v/>
      </c>
      <c r="K17" s="12" t="n">
        <v>36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0" t="n"/>
      <c r="H18" s="10" t="n">
        <v>1621</v>
      </c>
      <c r="I18" s="11">
        <f>H18/$D$18</f>
        <v/>
      </c>
      <c r="J18" s="12">
        <f>K18-H18</f>
        <v/>
      </c>
      <c r="K18" s="12" t="n">
        <v>1621</v>
      </c>
      <c r="L18" s="13">
        <f>K18/$D$18</f>
        <v/>
      </c>
      <c r="M18" s="8" t="inlineStr">
        <is>
          <t>Latest sales - Block A: 289 units, Block B: 406 units, Block C: 135 units, Block D: 395 units, Block E: 396 units</t>
        </is>
      </c>
    </row>
  </sheetData>
  <mergeCells count="2">
    <mergeCell ref="J3:L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M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(SIME DARBY)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0" t="n"/>
      <c r="H5" s="10" t="n">
        <v>271</v>
      </c>
      <c r="I5" s="11">
        <f>H5/$D$5</f>
        <v/>
      </c>
      <c r="J5" s="12">
        <f>K5-H5</f>
        <v/>
      </c>
      <c r="K5" s="12" t="n">
        <v>271</v>
      </c>
      <c r="L5" s="13">
        <f>K5/$D$5</f>
        <v/>
      </c>
      <c r="M5" s="8" t="inlineStr">
        <is>
          <t>Latest sales - Block A: 138 units, Block B: 133 units</t>
        </is>
      </c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0" t="n"/>
      <c r="H6" s="10" t="n">
        <v>605</v>
      </c>
      <c r="I6" s="11">
        <f>H6/$D$6</f>
        <v/>
      </c>
      <c r="J6" s="12">
        <f>K6-H6</f>
        <v/>
      </c>
      <c r="K6" s="12" t="n">
        <v>613</v>
      </c>
      <c r="L6" s="13">
        <f>K6/$D$6</f>
        <v/>
      </c>
      <c r="M6" s="8" t="inlineStr">
        <is>
          <t>Latest sales - Block A: 263 units, Block B: 350 units</t>
        </is>
      </c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0" t="n"/>
      <c r="H7" s="10" t="n">
        <v>0</v>
      </c>
      <c r="I7" s="11">
        <f>H7/$D$7</f>
        <v/>
      </c>
      <c r="J7" s="12">
        <f>K7-H7</f>
        <v/>
      </c>
      <c r="K7" s="12" t="n">
        <v>0</v>
      </c>
      <c r="L7" s="13">
        <f>K7/$D$7</f>
        <v/>
      </c>
      <c r="M7" s="8" t="inlineStr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0" t="n"/>
      <c r="H8" s="10" t="n">
        <v>0</v>
      </c>
      <c r="I8" s="11">
        <f>H8/$D$8</f>
        <v/>
      </c>
      <c r="J8" s="12">
        <f>K8-H8</f>
        <v/>
      </c>
      <c r="K8" s="12" t="n">
        <v>0</v>
      </c>
      <c r="L8" s="13">
        <f>K8/$D$8</f>
        <v/>
      </c>
      <c r="M8" s="8" t="inlineStr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0" t="n"/>
      <c r="H9" s="10" t="n">
        <v>22</v>
      </c>
      <c r="I9" s="11">
        <f>H9/$D$9</f>
        <v/>
      </c>
      <c r="J9" s="12">
        <f>K9-H9</f>
        <v/>
      </c>
      <c r="K9" s="12" t="n">
        <v>22</v>
      </c>
      <c r="L9" s="13">
        <f>K9/$D$9</f>
        <v/>
      </c>
      <c r="M9" s="8" t="inlineStr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0" t="n"/>
      <c r="H10" s="10" t="n">
        <v>24</v>
      </c>
      <c r="I10" s="11">
        <f>H10/$D$10</f>
        <v/>
      </c>
      <c r="J10" s="12">
        <f>K10-H10</f>
        <v/>
      </c>
      <c r="K10" s="12" t="n">
        <v>24</v>
      </c>
      <c r="L10" s="13">
        <f>K10/$D$10</f>
        <v/>
      </c>
      <c r="M10" s="8" t="inlineStr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0" t="n"/>
      <c r="H11" s="10" t="n">
        <v>116</v>
      </c>
      <c r="I11" s="11">
        <f>H11/$D$11</f>
        <v/>
      </c>
      <c r="J11" s="12">
        <f>K11-H11</f>
        <v/>
      </c>
      <c r="K11" s="12" t="n">
        <v>116</v>
      </c>
      <c r="L11" s="13">
        <f>K11/$D$11</f>
        <v/>
      </c>
      <c r="M11" s="8" t="inlineStr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0" t="n"/>
      <c r="H12" s="10" t="n">
        <v>97</v>
      </c>
      <c r="I12" s="11">
        <f>H12/$D$12</f>
        <v/>
      </c>
      <c r="J12" s="12">
        <f>K12-H12</f>
        <v/>
      </c>
      <c r="K12" s="12" t="n">
        <v>97</v>
      </c>
      <c r="L12" s="13">
        <f>K12/$D$12</f>
        <v/>
      </c>
      <c r="M12" s="8" t="inlineStr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0" t="n"/>
      <c r="H13" s="10" t="n">
        <v>71</v>
      </c>
      <c r="I13" s="11">
        <f>H13/$D$13</f>
        <v/>
      </c>
      <c r="J13" s="12">
        <f>K13-H13</f>
        <v/>
      </c>
      <c r="K13" s="12" t="n">
        <v>73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0" t="n"/>
      <c r="H14" s="10" t="n">
        <v>0</v>
      </c>
      <c r="I14" s="11">
        <f>H14/$D$14</f>
        <v/>
      </c>
      <c r="J14" s="12">
        <f>K14-H14</f>
        <v/>
      </c>
      <c r="K14" s="12" t="n">
        <v>0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0" t="n"/>
      <c r="H15" s="10" t="n">
        <v>0</v>
      </c>
      <c r="I15" s="11">
        <f>H15/$D$15</f>
        <v/>
      </c>
      <c r="J15" s="12">
        <f>K15-H15</f>
        <v/>
      </c>
      <c r="K15" s="12" t="n">
        <v>0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0" t="n"/>
      <c r="H16" s="10" t="n">
        <v>100</v>
      </c>
      <c r="I16" s="11">
        <f>H16/$D$16</f>
        <v/>
      </c>
      <c r="J16" s="12">
        <f>K16-H16</f>
        <v/>
      </c>
      <c r="K16" s="12" t="n">
        <v>100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0" t="n"/>
      <c r="H17" s="10" t="n">
        <v>93</v>
      </c>
      <c r="I17" s="11">
        <f>H17/$D$17</f>
        <v/>
      </c>
      <c r="J17" s="12">
        <f>K17-H17</f>
        <v/>
      </c>
      <c r="K17" s="12" t="n">
        <v>93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0" t="n"/>
      <c r="H18" s="10" t="n">
        <v>121</v>
      </c>
      <c r="I18" s="11">
        <f>H18/$D$18</f>
        <v/>
      </c>
      <c r="J18" s="12">
        <f>K18-H18</f>
        <v/>
      </c>
      <c r="K18" s="12" t="n">
        <v>121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0" t="n"/>
      <c r="H19" s="10" t="n">
        <v>99</v>
      </c>
      <c r="I19" s="11">
        <f>H19/$D$19</f>
        <v/>
      </c>
      <c r="J19" s="12">
        <f>K19-H19</f>
        <v/>
      </c>
      <c r="K19" s="12" t="n">
        <v>99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0" t="n"/>
      <c r="H20" s="10" t="n">
        <v>411</v>
      </c>
      <c r="I20" s="11">
        <f>H20/$D$20</f>
        <v/>
      </c>
      <c r="J20" s="12">
        <f>K20-H20</f>
        <v/>
      </c>
      <c r="K20" s="12" t="n">
        <v>413</v>
      </c>
      <c r="L20" s="13">
        <f>K20/$D$20</f>
        <v/>
      </c>
      <c r="M20" s="8" t="inlineStr">
        <is>
          <t>Latest sales - Block EW: 413 units</t>
        </is>
      </c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0" t="n"/>
      <c r="H21" s="10" t="n">
        <v>134</v>
      </c>
      <c r="I21" s="11">
        <f>H21/$D$21</f>
        <v/>
      </c>
      <c r="J21" s="12">
        <f>K21-H21</f>
        <v/>
      </c>
      <c r="K21" s="12" t="n">
        <v>135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0" t="n"/>
      <c r="H22" s="10" t="n">
        <v>71</v>
      </c>
      <c r="I22" s="11">
        <f>H22/$D$22</f>
        <v/>
      </c>
      <c r="J22" s="12">
        <f>K22-H22</f>
        <v/>
      </c>
      <c r="K22" s="12" t="n">
        <v>71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0" t="n"/>
      <c r="H23" s="10" t="n">
        <v>59</v>
      </c>
      <c r="I23" s="11">
        <f>H23/$D$23</f>
        <v/>
      </c>
      <c r="J23" s="12">
        <f>K23-H23</f>
        <v/>
      </c>
      <c r="K23" s="12" t="n">
        <v>59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0" t="n"/>
      <c r="H24" s="10" t="n">
        <v>19</v>
      </c>
      <c r="I24" s="11">
        <f>H24/$D$24</f>
        <v/>
      </c>
      <c r="J24" s="12">
        <f>K24-H24</f>
        <v/>
      </c>
      <c r="K24" s="12" t="n">
        <v>22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0" t="n"/>
      <c r="H26" s="10" t="n">
        <v>508</v>
      </c>
      <c r="I26" s="11">
        <f>H26/$D$26</f>
        <v/>
      </c>
      <c r="J26" s="12">
        <f>K26-H26</f>
        <v/>
      </c>
      <c r="K26" s="12" t="n">
        <v>508</v>
      </c>
      <c r="L26" s="13">
        <f>K26/$D$26</f>
        <v/>
      </c>
      <c r="M26" s="8" t="inlineStr">
        <is>
          <t>Latest sales - Block A: 256 units, Block B: 252 units</t>
        </is>
      </c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0" t="n"/>
      <c r="H27" s="10" t="n">
        <v>22</v>
      </c>
      <c r="I27" s="11">
        <f>H27/$D$27</f>
        <v/>
      </c>
      <c r="J27" s="12">
        <f>K27-H27</f>
        <v/>
      </c>
      <c r="K27" s="12" t="n">
        <v>22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0" t="n"/>
      <c r="H28" s="10" t="n">
        <v>0</v>
      </c>
      <c r="I28" s="11">
        <f>H28/$D$28</f>
        <v/>
      </c>
      <c r="J28" s="12">
        <f>K28-H28</f>
        <v/>
      </c>
      <c r="K28" s="12" t="n">
        <v>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0" t="n"/>
      <c r="H29" s="10" t="n">
        <v>134</v>
      </c>
      <c r="I29" s="11">
        <f>H29/$D$29</f>
        <v/>
      </c>
      <c r="J29" s="12">
        <f>K29-H29</f>
        <v/>
      </c>
      <c r="K29" s="12" t="n">
        <v>134</v>
      </c>
      <c r="L29" s="13">
        <f>K29/$D$29</f>
        <v/>
      </c>
      <c r="M29" s="8" t="inlineStr">
        <is>
          <t>Latest sales - Block 1A: 12 units, Block 1B: 8 units, Block 2A: 7 units, Block 2B: 5 units, Block 3A: 2 units, Block 3B: 3 units, Block A1: 15 units, Block A2: 19 units, Block B1: 12 units, Block B2: 15 units, Block C1: 19 units, Block C2: 17 units</t>
        </is>
      </c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0" t="n"/>
      <c r="H30" s="10" t="n">
        <v>956</v>
      </c>
      <c r="I30" s="11">
        <f>H30/$D$30</f>
        <v/>
      </c>
      <c r="J30" s="12">
        <f>K30-H30</f>
        <v/>
      </c>
      <c r="K30" s="12" t="n">
        <v>956</v>
      </c>
      <c r="L30" s="13">
        <f>K30/$D$30</f>
        <v/>
      </c>
      <c r="M30" s="8" t="inlineStr">
        <is>
          <t>Latest sales - Block A: 200 units, Block B: 224 units, Block C: 258 units, Block D: 274 units</t>
        </is>
      </c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0" t="n"/>
      <c r="H31" s="10" t="n">
        <v>0</v>
      </c>
      <c r="I31" s="11">
        <f>H31/$D$31</f>
        <v/>
      </c>
      <c r="J31" s="12">
        <f>K31-H31</f>
        <v/>
      </c>
      <c r="K31" s="12" t="n">
        <v>0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0" t="n"/>
      <c r="H32" s="10" t="n">
        <v>122</v>
      </c>
      <c r="I32" s="11">
        <f>H32/$D$32</f>
        <v/>
      </c>
      <c r="J32" s="12">
        <f>K32-H32</f>
        <v/>
      </c>
      <c r="K32" s="12" t="n">
        <v>122</v>
      </c>
      <c r="L32" s="13">
        <f>K32/$D$32</f>
        <v/>
      </c>
      <c r="M32" s="8" t="inlineStr">
        <is>
          <t>Latest sales - Block A: 16 units, Block B: 30 units, Block C: 32 units, Block D: 32 units, Block E: 12 units</t>
        </is>
      </c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0" t="n"/>
      <c r="H33" s="10" t="n">
        <v>1420</v>
      </c>
      <c r="I33" s="11">
        <f>H33/$D$33</f>
        <v/>
      </c>
      <c r="J33" s="12">
        <f>K33-H33</f>
        <v/>
      </c>
      <c r="K33" s="12" t="n">
        <v>1420</v>
      </c>
      <c r="L33" s="13">
        <f>K33/$D$33</f>
        <v/>
      </c>
      <c r="M33" s="8" t="inlineStr">
        <is>
          <t>Latest sales - Block HT6T1A(I)/1: 506 units, Block HT6T1A(I)/2: 417 units, Block HT6T1A(II)/3: 497 units</t>
        </is>
      </c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0" t="n"/>
      <c r="H34" s="10" t="n">
        <v>167</v>
      </c>
      <c r="I34" s="11">
        <f>H34/$D$34</f>
        <v/>
      </c>
      <c r="J34" s="12">
        <f>K34-H34</f>
        <v/>
      </c>
      <c r="K34" s="12" t="n">
        <v>168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0" t="n"/>
      <c r="H35" s="10" t="n">
        <v>60</v>
      </c>
      <c r="I35" s="11">
        <f>H35/$D$35</f>
        <v/>
      </c>
      <c r="J35" s="12">
        <f>K35-H35</f>
        <v/>
      </c>
      <c r="K35" s="12" t="n">
        <v>60</v>
      </c>
      <c r="L35" s="13">
        <f>K35/$D$35</f>
        <v/>
      </c>
      <c r="M35" s="8" t="inlineStr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0" t="n"/>
      <c r="H36" s="10" t="n">
        <v>24</v>
      </c>
      <c r="I36" s="11">
        <f>H36/$D$36</f>
        <v/>
      </c>
      <c r="J36" s="12">
        <f>K36-H36</f>
        <v/>
      </c>
      <c r="K36" s="12" t="n">
        <v>27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0" t="n"/>
      <c r="H37" s="10" t="n">
        <v>104</v>
      </c>
      <c r="I37" s="11">
        <f>H37/$D$37</f>
        <v/>
      </c>
      <c r="J37" s="12">
        <f>K37-H37</f>
        <v/>
      </c>
      <c r="K37" s="12" t="n">
        <v>104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0" t="n"/>
      <c r="H38" s="10" t="n">
        <v>44</v>
      </c>
      <c r="I38" s="11">
        <f>H38/$D$38</f>
        <v/>
      </c>
      <c r="J38" s="12">
        <f>K38-H38</f>
        <v/>
      </c>
      <c r="K38" s="12" t="n">
        <v>44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0" t="n"/>
      <c r="H39" s="10" t="n">
        <v>29</v>
      </c>
      <c r="I39" s="11">
        <f>H39/$D$39</f>
        <v/>
      </c>
      <c r="J39" s="12">
        <f>K39-H39</f>
        <v/>
      </c>
      <c r="K39" s="12" t="n">
        <v>29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0" t="n"/>
      <c r="H40" s="10" t="n">
        <v>24</v>
      </c>
      <c r="I40" s="11">
        <f>H40/$D$40</f>
        <v/>
      </c>
      <c r="J40" s="12">
        <f>K40-H40</f>
        <v/>
      </c>
      <c r="K40" s="12" t="n">
        <v>24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0" t="n"/>
      <c r="H41" s="10" t="n">
        <v>106</v>
      </c>
      <c r="I41" s="11">
        <f>H41/$D$41</f>
        <v/>
      </c>
      <c r="J41" s="12">
        <f>K41-H41</f>
        <v/>
      </c>
      <c r="K41" s="12" t="n">
        <v>106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0" t="n"/>
      <c r="H42" s="10" t="n">
        <v>228</v>
      </c>
      <c r="I42" s="11">
        <f>H42/$D$42</f>
        <v/>
      </c>
      <c r="J42" s="12">
        <f>K42-H42</f>
        <v/>
      </c>
      <c r="K42" s="12" t="n">
        <v>228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0" t="n"/>
      <c r="H43" s="10" t="n">
        <v>84</v>
      </c>
      <c r="I43" s="11">
        <f>H43/$D$43</f>
        <v/>
      </c>
      <c r="J43" s="12">
        <f>K43-H43</f>
        <v/>
      </c>
      <c r="K43" s="12" t="n">
        <v>84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0" t="n"/>
      <c r="H44" s="10" t="n">
        <v>34</v>
      </c>
      <c r="I44" s="11">
        <f>H44/$D$44</f>
        <v/>
      </c>
      <c r="J44" s="12">
        <f>K44-H44</f>
        <v/>
      </c>
      <c r="K44" s="12" t="n">
        <v>34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0" t="n"/>
      <c r="H45" s="10" t="n">
        <v>50</v>
      </c>
      <c r="I45" s="11">
        <f>H45/$D$45</f>
        <v/>
      </c>
      <c r="J45" s="12">
        <f>K45-H45</f>
        <v/>
      </c>
      <c r="K45" s="12" t="n">
        <v>51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0" t="n"/>
      <c r="H46" s="10" t="n">
        <v>55</v>
      </c>
      <c r="I46" s="11">
        <f>H46/$D$46</f>
        <v/>
      </c>
      <c r="J46" s="12">
        <f>K46-H46</f>
        <v/>
      </c>
      <c r="K46" s="12" t="n">
        <v>55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0" t="n"/>
      <c r="H47" s="10" t="n">
        <v>32</v>
      </c>
      <c r="I47" s="11">
        <f>H47/$D$47</f>
        <v/>
      </c>
      <c r="J47" s="12">
        <f>K47-H47</f>
        <v/>
      </c>
      <c r="K47" s="12" t="n">
        <v>32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0" t="n"/>
      <c r="H48" s="10" t="n">
        <v>0</v>
      </c>
      <c r="I48" s="11">
        <f>H48/$D$48</f>
        <v/>
      </c>
      <c r="J48" s="12">
        <f>K48-H48</f>
        <v/>
      </c>
      <c r="K48" s="12" t="n">
        <v>0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0" t="n"/>
      <c r="H49" s="10" t="n">
        <v>160</v>
      </c>
      <c r="I49" s="11">
        <f>H49/$D$49</f>
        <v/>
      </c>
      <c r="J49" s="12">
        <f>K49-H49</f>
        <v/>
      </c>
      <c r="K49" s="12" t="n">
        <v>161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0" t="n"/>
      <c r="H50" s="10" t="n">
        <v>27</v>
      </c>
      <c r="I50" s="11">
        <f>H50/$D$50</f>
        <v/>
      </c>
      <c r="J50" s="12">
        <f>K50-H50</f>
        <v/>
      </c>
      <c r="K50" s="12" t="n">
        <v>28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0" t="n"/>
      <c r="H51" s="10" t="n">
        <v>436</v>
      </c>
      <c r="I51" s="11">
        <f>H51/$D$51</f>
        <v/>
      </c>
      <c r="J51" s="12">
        <f>K51-H51</f>
        <v/>
      </c>
      <c r="K51" s="12" t="n">
        <v>436</v>
      </c>
      <c r="L51" s="13">
        <f>K51/$D$51</f>
        <v/>
      </c>
      <c r="M51" s="8" t="inlineStr">
        <is>
          <t>Latest sales - Block A: 146 units, Block B: 158 units, Block C: 132 units</t>
        </is>
      </c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0" t="n"/>
      <c r="H52" s="10" t="n">
        <v>18</v>
      </c>
      <c r="I52" s="11">
        <f>H52/$D$52</f>
        <v/>
      </c>
      <c r="J52" s="12">
        <f>K52-H52</f>
        <v/>
      </c>
      <c r="K52" s="12" t="n">
        <v>19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0" t="n"/>
      <c r="H53" s="10" t="n">
        <v>128</v>
      </c>
      <c r="I53" s="11">
        <f>H53/$D$53</f>
        <v/>
      </c>
      <c r="J53" s="12">
        <f>K53-H53</f>
        <v/>
      </c>
      <c r="K53" s="12" t="n">
        <v>128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3927-157,3927-158,3927-159</t>
        </is>
      </c>
      <c r="F54" s="8" t="inlineStr">
        <is>
          <t>SIME DARBY PROPERTY (BUKIT RAJA) SDN. BHD.</t>
        </is>
      </c>
      <c r="G54" s="10" t="n"/>
      <c r="H54" s="10" t="n">
        <v>300</v>
      </c>
      <c r="I54" s="11">
        <f>H54/$D$54</f>
        <v/>
      </c>
      <c r="J54" s="12">
        <f>K54-H54</f>
        <v/>
      </c>
      <c r="K54" s="12" t="n">
        <v>300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/>
      <c r="F55" s="8" t="inlineStr"/>
      <c r="G55" s="10" t="n"/>
      <c r="H55" s="10" t="n"/>
      <c r="I55" s="11" t="n"/>
      <c r="J55" s="12" t="n"/>
      <c r="K55" s="12" t="n"/>
      <c r="L55" s="13" t="n"/>
      <c r="M55" s="8" t="inlineStr">
        <is>
          <t>Not launched yet.</t>
        </is>
      </c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6755-7,6755-9</t>
        </is>
      </c>
      <c r="F56" s="8" t="inlineStr">
        <is>
          <t>SIME DARBY PROPERTY (NILAI) SDN. BHD.</t>
        </is>
      </c>
      <c r="G56" s="10" t="n"/>
      <c r="H56" s="10" t="n">
        <v>80</v>
      </c>
      <c r="I56" s="11">
        <f>H56/$D$56</f>
        <v/>
      </c>
      <c r="J56" s="12">
        <f>K56-H56</f>
        <v/>
      </c>
      <c r="K56" s="12" t="n">
        <v>80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0" t="n"/>
      <c r="H57" s="10" t="n">
        <v>158</v>
      </c>
      <c r="I57" s="11">
        <f>H57/$D$57</f>
        <v/>
      </c>
      <c r="J57" s="12">
        <f>K57-H57</f>
        <v/>
      </c>
      <c r="K57" s="12" t="n">
        <v>164</v>
      </c>
      <c r="L57" s="13">
        <f>K57/$D$57</f>
        <v/>
      </c>
      <c r="M57" s="8" t="inlineStr">
        <is>
          <t>Latest sales - Block A: 33 units, Block B: 64 units, Block C1: 67 units</t>
        </is>
      </c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0" t="n"/>
      <c r="H58" s="10" t="n">
        <v>275</v>
      </c>
      <c r="I58" s="11">
        <f>H58/$D$58</f>
        <v/>
      </c>
      <c r="J58" s="12">
        <f>K58-H58</f>
        <v/>
      </c>
      <c r="K58" s="12" t="n">
        <v>275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0" t="n"/>
      <c r="H59" s="10" t="n">
        <v>183</v>
      </c>
      <c r="I59" s="11">
        <f>H59/$D$59</f>
        <v/>
      </c>
      <c r="J59" s="12">
        <f>K59-H59</f>
        <v/>
      </c>
      <c r="K59" s="12" t="n">
        <v>183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0" t="n"/>
      <c r="H60" s="10" t="n">
        <v>205</v>
      </c>
      <c r="I60" s="11">
        <f>H60/$D$60</f>
        <v/>
      </c>
      <c r="J60" s="12">
        <f>K60-H60</f>
        <v/>
      </c>
      <c r="K60" s="12" t="n">
        <v>205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0" t="n"/>
      <c r="H61" s="10" t="n">
        <v>72</v>
      </c>
      <c r="I61" s="11">
        <f>H61/$D$61</f>
        <v/>
      </c>
      <c r="J61" s="12">
        <f>K61-H61</f>
        <v/>
      </c>
      <c r="K61" s="12" t="n">
        <v>72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0" t="n"/>
      <c r="H62" s="10" t="n">
        <v>181</v>
      </c>
      <c r="I62" s="11">
        <f>H62/$D$62</f>
        <v/>
      </c>
      <c r="J62" s="12">
        <f>K62-H62</f>
        <v/>
      </c>
      <c r="K62" s="12" t="n">
        <v>181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0" t="n"/>
      <c r="H63" s="10" t="n">
        <v>47</v>
      </c>
      <c r="I63" s="11">
        <f>H63/$D$63</f>
        <v/>
      </c>
      <c r="J63" s="12">
        <f>K63-H63</f>
        <v/>
      </c>
      <c r="K63" s="12" t="n">
        <v>47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0" t="n"/>
      <c r="H64" s="10" t="n">
        <v>348</v>
      </c>
      <c r="I64" s="11">
        <f>H64/$D$64</f>
        <v/>
      </c>
      <c r="J64" s="12">
        <f>K64-H64</f>
        <v/>
      </c>
      <c r="K64" s="12" t="n">
        <v>348</v>
      </c>
      <c r="L64" s="13">
        <f>K64/$D$64</f>
        <v/>
      </c>
      <c r="M64" s="8" t="inlineStr">
        <is>
          <t>Latest sales - Block A: 126 units, Block B: 96 units, Block C: 126 units</t>
        </is>
      </c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0" t="n"/>
      <c r="H65" s="10" t="n">
        <v>168</v>
      </c>
      <c r="I65" s="11">
        <f>H65/$D$65</f>
        <v/>
      </c>
      <c r="J65" s="12">
        <f>K65-H65</f>
        <v/>
      </c>
      <c r="K65" s="12" t="n">
        <v>168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0" t="n"/>
      <c r="H66" s="10" t="n">
        <v>204</v>
      </c>
      <c r="I66" s="11">
        <f>H66/$D$66</f>
        <v/>
      </c>
      <c r="J66" s="12">
        <f>K66-H66</f>
        <v/>
      </c>
      <c r="K66" s="12" t="n">
        <v>204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0" t="n"/>
      <c r="H67" s="10" t="n">
        <v>300</v>
      </c>
      <c r="I67" s="11">
        <f>H67/$D$67</f>
        <v/>
      </c>
      <c r="J67" s="12">
        <f>K67-H67</f>
        <v/>
      </c>
      <c r="K67" s="12" t="n">
        <v>300</v>
      </c>
      <c r="L67" s="13">
        <f>K67/$D$67</f>
        <v/>
      </c>
      <c r="M67" s="8" t="inlineStr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0" t="n"/>
      <c r="H68" s="10" t="n">
        <v>49</v>
      </c>
      <c r="I68" s="11">
        <f>H68/$D$68</f>
        <v/>
      </c>
      <c r="J68" s="12">
        <f>K68-H68</f>
        <v/>
      </c>
      <c r="K68" s="12" t="n">
        <v>49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0" t="n"/>
      <c r="H69" s="10" t="n">
        <v>31</v>
      </c>
      <c r="I69" s="11">
        <f>H69/$D$69</f>
        <v/>
      </c>
      <c r="J69" s="12">
        <f>K69-H69</f>
        <v/>
      </c>
      <c r="K69" s="12" t="n">
        <v>31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0" t="n"/>
      <c r="H70" s="10" t="n">
        <v>14</v>
      </c>
      <c r="I70" s="11">
        <f>H70/$D$70</f>
        <v/>
      </c>
      <c r="J70" s="12">
        <f>K70-H70</f>
        <v/>
      </c>
      <c r="K70" s="12" t="n">
        <v>14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0" t="n"/>
      <c r="H71" s="10" t="n">
        <v>66</v>
      </c>
      <c r="I71" s="11">
        <f>H71/$D$71</f>
        <v/>
      </c>
      <c r="J71" s="12">
        <f>K71-H71</f>
        <v/>
      </c>
      <c r="K71" s="12" t="n">
        <v>66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0" t="n"/>
      <c r="H72" s="10" t="n">
        <v>1</v>
      </c>
      <c r="I72" s="11">
        <f>H72/$D$72</f>
        <v/>
      </c>
      <c r="J72" s="12">
        <f>K72-H72</f>
        <v/>
      </c>
      <c r="K72" s="12" t="n">
        <v>1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0" t="n"/>
      <c r="H73" s="10" t="n">
        <v>16</v>
      </c>
      <c r="I73" s="11">
        <f>H73/$D$73</f>
        <v/>
      </c>
      <c r="J73" s="12">
        <f>K73-H73</f>
        <v/>
      </c>
      <c r="K73" s="12" t="n">
        <v>16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0" t="n"/>
      <c r="H74" s="10" t="n">
        <v>117</v>
      </c>
      <c r="I74" s="11">
        <f>H74/$D$74</f>
        <v/>
      </c>
      <c r="J74" s="12">
        <f>K74-H74</f>
        <v/>
      </c>
      <c r="K74" s="12" t="n">
        <v>117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0" t="n"/>
      <c r="H75" s="10" t="n">
        <v>277</v>
      </c>
      <c r="I75" s="11">
        <f>H75/$D$75</f>
        <v/>
      </c>
      <c r="J75" s="12">
        <f>K75-H75</f>
        <v/>
      </c>
      <c r="K75" s="12" t="n">
        <v>277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0" t="n"/>
      <c r="H76" s="10" t="n">
        <v>113</v>
      </c>
      <c r="I76" s="11">
        <f>H76/$D$76</f>
        <v/>
      </c>
      <c r="J76" s="12">
        <f>K76-H76</f>
        <v/>
      </c>
      <c r="K76" s="12" t="n">
        <v>113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0" t="n"/>
      <c r="H77" s="10" t="n">
        <v>138</v>
      </c>
      <c r="I77" s="11">
        <f>H77/$D$77</f>
        <v/>
      </c>
      <c r="J77" s="12">
        <f>K77-H77</f>
        <v/>
      </c>
      <c r="K77" s="12" t="n">
        <v>138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0" t="n"/>
      <c r="H78" s="10" t="n">
        <v>180</v>
      </c>
      <c r="I78" s="11">
        <f>H78/$D$78</f>
        <v/>
      </c>
      <c r="J78" s="12">
        <f>K78-H78</f>
        <v/>
      </c>
      <c r="K78" s="12" t="n">
        <v>180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0" t="n"/>
      <c r="H79" s="10" t="n">
        <v>130</v>
      </c>
      <c r="I79" s="11">
        <f>H79/$D$79</f>
        <v/>
      </c>
      <c r="J79" s="12">
        <f>K79-H79</f>
        <v/>
      </c>
      <c r="K79" s="12" t="n">
        <v>130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0" t="n"/>
      <c r="H80" s="10" t="n">
        <v>302</v>
      </c>
      <c r="I80" s="11">
        <f>H80/$D$80</f>
        <v/>
      </c>
      <c r="J80" s="12">
        <f>K80-H80</f>
        <v/>
      </c>
      <c r="K80" s="12" t="n">
        <v>302</v>
      </c>
      <c r="L80" s="13">
        <f>K80/$D$80</f>
        <v/>
      </c>
      <c r="M80" s="8" t="inlineStr">
        <is>
          <t>Latest sales - Block EE: 302 units</t>
        </is>
      </c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0" t="n"/>
      <c r="H81" s="10" t="n">
        <v>79</v>
      </c>
      <c r="I81" s="11">
        <f>H81/$D$81</f>
        <v/>
      </c>
      <c r="J81" s="12">
        <f>K81-H81</f>
        <v/>
      </c>
      <c r="K81" s="12" t="n">
        <v>79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0" t="n"/>
      <c r="H82" s="10" t="n">
        <v>88</v>
      </c>
      <c r="I82" s="11">
        <f>H82/$D$82</f>
        <v/>
      </c>
      <c r="J82" s="12">
        <f>K82-H82</f>
        <v/>
      </c>
      <c r="K82" s="12" t="n">
        <v>88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0" t="n"/>
      <c r="H83" s="10" t="n">
        <v>125</v>
      </c>
      <c r="I83" s="11">
        <f>H83/$D$83</f>
        <v/>
      </c>
      <c r="J83" s="12">
        <f>K83-H83</f>
        <v/>
      </c>
      <c r="K83" s="12" t="n">
        <v>125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0" t="n"/>
      <c r="H84" s="10" t="n">
        <v>12</v>
      </c>
      <c r="I84" s="11">
        <f>H84/$D$84</f>
        <v/>
      </c>
      <c r="J84" s="12">
        <f>K84-H84</f>
        <v/>
      </c>
      <c r="K84" s="12" t="n">
        <v>12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0" t="n"/>
      <c r="H85" s="10" t="n">
        <v>10</v>
      </c>
      <c r="I85" s="11">
        <f>H85/$D$85</f>
        <v/>
      </c>
      <c r="J85" s="12">
        <f>K85-H85</f>
        <v/>
      </c>
      <c r="K85" s="12" t="n">
        <v>10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0" t="n"/>
      <c r="H86" s="10" t="n">
        <v>43</v>
      </c>
      <c r="I86" s="11">
        <f>H86/$D$86</f>
        <v/>
      </c>
      <c r="J86" s="12">
        <f>K86-H86</f>
        <v/>
      </c>
      <c r="K86" s="12" t="n">
        <v>43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0" t="n"/>
      <c r="H87" s="10" t="n">
        <v>23</v>
      </c>
      <c r="I87" s="11">
        <f>H87/$D$87</f>
        <v/>
      </c>
      <c r="J87" s="12">
        <f>K87-H87</f>
        <v/>
      </c>
      <c r="K87" s="12" t="n">
        <v>23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0" t="n"/>
      <c r="H88" s="10" t="n">
        <v>298</v>
      </c>
      <c r="I88" s="11">
        <f>H88/$D$88</f>
        <v/>
      </c>
      <c r="J88" s="12">
        <f>K88-H88</f>
        <v/>
      </c>
      <c r="K88" s="12" t="n">
        <v>298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0" t="n"/>
      <c r="H89" s="10" t="n">
        <v>226</v>
      </c>
      <c r="I89" s="11">
        <f>H89/$D$89</f>
        <v/>
      </c>
      <c r="J89" s="12">
        <f>K89-H89</f>
        <v/>
      </c>
      <c r="K89" s="12" t="n">
        <v>226</v>
      </c>
      <c r="L89" s="13">
        <f>K89/$D$89</f>
        <v/>
      </c>
      <c r="M89" s="8" t="inlineStr">
        <is>
          <t>Latest sales - Block SC/SC: 226 units</t>
        </is>
      </c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0" t="n"/>
      <c r="H90" s="10" t="n">
        <v>176</v>
      </c>
      <c r="I90" s="11">
        <f>H90/$D$90</f>
        <v/>
      </c>
      <c r="J90" s="12">
        <f>K90-H90</f>
        <v/>
      </c>
      <c r="K90" s="12" t="n">
        <v>176</v>
      </c>
      <c r="L90" s="13">
        <f>K90/$D$90</f>
        <v/>
      </c>
      <c r="M90" s="8" t="inlineStr">
        <is>
          <t>Latest sales - Block SC/SC: 176 units</t>
        </is>
      </c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0" t="n"/>
      <c r="H91" s="10" t="n">
        <v>100</v>
      </c>
      <c r="I91" s="11">
        <f>H91/$D$91</f>
        <v/>
      </c>
      <c r="J91" s="12">
        <f>K91-H91</f>
        <v/>
      </c>
      <c r="K91" s="12" t="n">
        <v>100</v>
      </c>
      <c r="L91" s="13">
        <f>K91/$D$91</f>
        <v/>
      </c>
      <c r="M91" s="8" t="inlineStr">
        <is>
          <t>Latest sales - Block SC/SC: 100 units</t>
        </is>
      </c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0" t="n"/>
      <c r="H92" s="10" t="n">
        <v>100</v>
      </c>
      <c r="I92" s="11">
        <f>H92/$D$92</f>
        <v/>
      </c>
      <c r="J92" s="12">
        <f>K92-H92</f>
        <v/>
      </c>
      <c r="K92" s="12" t="n">
        <v>100</v>
      </c>
      <c r="L92" s="13">
        <f>K92/$D$92</f>
        <v/>
      </c>
      <c r="M92" s="8" t="inlineStr">
        <is>
          <t>Latest sales - Block SC/SC: 100 units</t>
        </is>
      </c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>
        <is>
          <t>Latest sales - Block SC/SC: 96 units</t>
        </is>
      </c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0" t="n"/>
      <c r="H94" s="10" t="n">
        <v>87</v>
      </c>
      <c r="I94" s="11">
        <f>H94/$D$94</f>
        <v/>
      </c>
      <c r="J94" s="12">
        <f>K94-H94</f>
        <v/>
      </c>
      <c r="K94" s="12" t="n">
        <v>87</v>
      </c>
      <c r="L94" s="13">
        <f>K94/$D$94</f>
        <v/>
      </c>
      <c r="M94" s="8" t="inlineStr">
        <is>
          <t>Latest sales - Block SC/SC: 87 units</t>
        </is>
      </c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0" t="n"/>
      <c r="H95" s="10" t="n">
        <v>111</v>
      </c>
      <c r="I95" s="11">
        <f>H95/$D$95</f>
        <v/>
      </c>
      <c r="J95" s="12">
        <f>K95-H95</f>
        <v/>
      </c>
      <c r="K95" s="12" t="n">
        <v>111</v>
      </c>
      <c r="L95" s="13">
        <f>K95/$D$95</f>
        <v/>
      </c>
      <c r="M95" s="8" t="inlineStr">
        <is>
          <t>Latest sales - Block SC/SC: 111 units</t>
        </is>
      </c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0" t="n"/>
      <c r="H96" s="10" t="n">
        <v>107</v>
      </c>
      <c r="I96" s="11">
        <f>H96/$D$96</f>
        <v/>
      </c>
      <c r="J96" s="12">
        <f>K96-H96</f>
        <v/>
      </c>
      <c r="K96" s="12" t="n">
        <v>107</v>
      </c>
      <c r="L96" s="13">
        <f>K96/$D$96</f>
        <v/>
      </c>
      <c r="M96" s="8" t="inlineStr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0" t="n"/>
      <c r="H97" s="10" t="n">
        <v>0</v>
      </c>
      <c r="I97" s="11">
        <f>H97/$D$97</f>
        <v/>
      </c>
      <c r="J97" s="12">
        <f>K97-H97</f>
        <v/>
      </c>
      <c r="K97" s="12" t="n">
        <v>0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0" t="n"/>
      <c r="H98" s="10" t="n">
        <v>0</v>
      </c>
      <c r="I98" s="11">
        <f>H98/$D$98</f>
        <v/>
      </c>
      <c r="J98" s="12">
        <f>K98-H98</f>
        <v/>
      </c>
      <c r="K98" s="12" t="n">
        <v>0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0" t="n"/>
      <c r="H99" s="10" t="n">
        <v>87</v>
      </c>
      <c r="I99" s="11">
        <f>H99/$D$99</f>
        <v/>
      </c>
      <c r="J99" s="12">
        <f>K99-H99</f>
        <v/>
      </c>
      <c r="K99" s="12" t="n">
        <v>87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0" t="n"/>
      <c r="H100" s="10" t="n">
        <v>144</v>
      </c>
      <c r="I100" s="11">
        <f>H100/$D$100</f>
        <v/>
      </c>
      <c r="J100" s="12">
        <f>K100-H100</f>
        <v/>
      </c>
      <c r="K100" s="12" t="n">
        <v>144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0" t="n"/>
      <c r="H101" s="10" t="n">
        <v>138</v>
      </c>
      <c r="I101" s="11">
        <f>H101/$D$101</f>
        <v/>
      </c>
      <c r="J101" s="12">
        <f>K101-H101</f>
        <v/>
      </c>
      <c r="K101" s="12" t="n">
        <v>138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0" t="n"/>
      <c r="H102" s="10" t="n">
        <v>57</v>
      </c>
      <c r="I102" s="11">
        <f>H102/$D$102</f>
        <v/>
      </c>
      <c r="J102" s="12">
        <f>K102-H102</f>
        <v/>
      </c>
      <c r="K102" s="12" t="n">
        <v>57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0" t="n"/>
      <c r="H103" s="10" t="n">
        <v>108</v>
      </c>
      <c r="I103" s="11">
        <f>H103/$D$103</f>
        <v/>
      </c>
      <c r="J103" s="12">
        <f>K103-H103</f>
        <v/>
      </c>
      <c r="K103" s="12" t="n">
        <v>108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0" t="n"/>
      <c r="H104" s="10" t="n">
        <v>86</v>
      </c>
      <c r="I104" s="11">
        <f>H104/$D$104</f>
        <v/>
      </c>
      <c r="J104" s="12">
        <f>K104-H104</f>
        <v/>
      </c>
      <c r="K104" s="12" t="n">
        <v>86</v>
      </c>
      <c r="L104" s="13">
        <f>K104/$D$104</f>
        <v/>
      </c>
      <c r="M104" s="8" t="inlineStr">
        <is>
          <t>Latest sales - Block SC: 86 units</t>
        </is>
      </c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0" t="n"/>
      <c r="H105" s="10" t="n">
        <v>53</v>
      </c>
      <c r="I105" s="11">
        <f>H105/$D$105</f>
        <v/>
      </c>
      <c r="J105" s="12">
        <f>K105-H105</f>
        <v/>
      </c>
      <c r="K105" s="12" t="n">
        <v>53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0" t="n"/>
      <c r="H106" s="10" t="n">
        <v>191</v>
      </c>
      <c r="I106" s="11">
        <f>H106/$D$106</f>
        <v/>
      </c>
      <c r="J106" s="12">
        <f>K106-H106</f>
        <v/>
      </c>
      <c r="K106" s="12" t="n">
        <v>191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0" t="n"/>
      <c r="H107" s="10" t="n">
        <v>203</v>
      </c>
      <c r="I107" s="11">
        <f>H107/$D$107</f>
        <v/>
      </c>
      <c r="J107" s="12">
        <f>K107-H107</f>
        <v/>
      </c>
      <c r="K107" s="12" t="n">
        <v>203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0" t="n"/>
      <c r="H108" s="10" t="n">
        <v>333</v>
      </c>
      <c r="I108" s="11">
        <f>H108/$D$108</f>
        <v/>
      </c>
      <c r="J108" s="12">
        <f>K108-H108</f>
        <v/>
      </c>
      <c r="K108" s="12" t="n">
        <v>333</v>
      </c>
      <c r="L108" s="13">
        <f>K108/$D$108</f>
        <v/>
      </c>
      <c r="M108" s="8" t="inlineStr">
        <is>
          <t>Latest sales - Block A: 176 units, Block B: 157 units</t>
        </is>
      </c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0" t="n"/>
      <c r="H109" s="10" t="n">
        <v>7</v>
      </c>
      <c r="I109" s="11">
        <f>H109/$D$109</f>
        <v/>
      </c>
      <c r="J109" s="12">
        <f>K109-H109</f>
        <v/>
      </c>
      <c r="K109" s="12" t="n">
        <v>10</v>
      </c>
      <c r="L109" s="13">
        <f>K109/$D$109</f>
        <v/>
      </c>
      <c r="M109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M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(SKS)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0" t="n"/>
      <c r="H5" s="10" t="n">
        <v>224</v>
      </c>
      <c r="I5" s="11">
        <f>H5/$D$5</f>
        <v/>
      </c>
      <c r="J5" s="12">
        <f>K5-H5</f>
        <v/>
      </c>
      <c r="K5" s="12" t="n">
        <v>224</v>
      </c>
      <c r="L5" s="13">
        <f>K5/$D$5</f>
        <v/>
      </c>
      <c r="M5" s="8" t="inlineStr">
        <is>
          <t>Latest sales - Block A: 113 units, Block B: 111 units</t>
        </is>
      </c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0" t="n"/>
      <c r="H6" s="10" t="n">
        <v>853</v>
      </c>
      <c r="I6" s="11">
        <f>H6/$D$6</f>
        <v/>
      </c>
      <c r="J6" s="12">
        <f>K6-H6</f>
        <v/>
      </c>
      <c r="K6" s="12" t="n">
        <v>853</v>
      </c>
      <c r="L6" s="13">
        <f>K6/$D$6</f>
        <v/>
      </c>
      <c r="M6" s="8" t="inlineStr">
        <is>
          <t>Latest sales - Block A: 230 units, Block B: 204 units, Block C: 207 units, Block D: 211 units</t>
        </is>
      </c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0" t="n"/>
      <c r="H7" s="10" t="n">
        <v>234</v>
      </c>
      <c r="I7" s="11">
        <f>H7/$D$7</f>
        <v/>
      </c>
      <c r="J7" s="12">
        <f>K7-H7</f>
        <v/>
      </c>
      <c r="K7" s="12" t="n">
        <v>234</v>
      </c>
      <c r="L7" s="13">
        <f>K7/$D$7</f>
        <v/>
      </c>
      <c r="M7" s="8" t="inlineStr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0" t="n"/>
      <c r="H8" s="10" t="n">
        <v>445</v>
      </c>
      <c r="I8" s="11">
        <f>H8/$D$8</f>
        <v/>
      </c>
      <c r="J8" s="12">
        <f>K8-H8</f>
        <v/>
      </c>
      <c r="K8" s="12" t="n">
        <v>445</v>
      </c>
      <c r="L8" s="13">
        <f>K8/$D$8</f>
        <v/>
      </c>
      <c r="M8" s="8" t="inlineStr">
        <is>
          <t>Latest sales - Block A: 229 units, Block B: 216 units</t>
        </is>
      </c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0" t="n"/>
      <c r="H9" s="10" t="n">
        <v>375</v>
      </c>
      <c r="I9" s="11">
        <f>H9/$D$9</f>
        <v/>
      </c>
      <c r="J9" s="12">
        <f>K9-H9</f>
        <v/>
      </c>
      <c r="K9" s="12" t="n">
        <v>375</v>
      </c>
      <c r="L9" s="13">
        <f>K9/$D$9</f>
        <v/>
      </c>
      <c r="M9" s="8" t="inlineStr">
        <is>
          <t>Latest sales - Block L: 375 units</t>
        </is>
      </c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0" t="n"/>
      <c r="H10" s="10" t="n">
        <v>175</v>
      </c>
      <c r="I10" s="11">
        <f>H10/$D$10</f>
        <v/>
      </c>
      <c r="J10" s="12">
        <f>K10-H10</f>
        <v/>
      </c>
      <c r="K10" s="12" t="n">
        <v>175</v>
      </c>
      <c r="L10" s="13">
        <f>K10/$D$10</f>
        <v/>
      </c>
      <c r="M10" s="8" t="inlineStr">
        <is>
          <t>Latest sales - Block A: 1 units, Block L: 174 units</t>
        </is>
      </c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0" t="n"/>
      <c r="H11" s="10" t="n">
        <v>282</v>
      </c>
      <c r="I11" s="11">
        <f>H11/$D$11</f>
        <v/>
      </c>
      <c r="J11" s="12">
        <f>K11-H11</f>
        <v/>
      </c>
      <c r="K11" s="12" t="n">
        <v>282</v>
      </c>
      <c r="L11" s="13">
        <f>K11/$D$11</f>
        <v/>
      </c>
      <c r="M11" s="8" t="inlineStr">
        <is>
          <t>Latest sales - Block R1: 282 units</t>
        </is>
      </c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0" t="n"/>
      <c r="H12" s="10" t="n">
        <v>180</v>
      </c>
      <c r="I12" s="11">
        <f>H12/$D$12</f>
        <v/>
      </c>
      <c r="J12" s="12">
        <f>K12-H12</f>
        <v/>
      </c>
      <c r="K12" s="12" t="n">
        <v>180</v>
      </c>
      <c r="L12" s="13">
        <f>K12/$D$12</f>
        <v/>
      </c>
      <c r="M12" s="8" t="inlineStr">
        <is>
          <t>Latest sales - Block A: 92 units, Block B: 87 units</t>
        </is>
      </c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0" t="n"/>
      <c r="H13" s="10" t="n">
        <v>492</v>
      </c>
      <c r="I13" s="11">
        <f>H13/$D$13</f>
        <v/>
      </c>
      <c r="J13" s="12">
        <f>K13-H13</f>
        <v/>
      </c>
      <c r="K13" s="12" t="n">
        <v>492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0" t="n"/>
      <c r="H14" s="10" t="n">
        <v>288</v>
      </c>
      <c r="I14" s="11">
        <f>H14/$D$14</f>
        <v/>
      </c>
      <c r="J14" s="12">
        <f>K14-H14</f>
        <v/>
      </c>
      <c r="K14" s="12" t="n">
        <v>288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0" t="n"/>
      <c r="H15" s="10" t="n">
        <v>938</v>
      </c>
      <c r="I15" s="11">
        <f>H15/$D$15</f>
        <v/>
      </c>
      <c r="J15" s="12">
        <f>K15-H15</f>
        <v/>
      </c>
      <c r="K15" s="12" t="n">
        <v>938</v>
      </c>
      <c r="L15" s="13">
        <f>K15/$D$15</f>
        <v/>
      </c>
      <c r="M15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(SKYWORLD)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0" t="n"/>
      <c r="H5" s="10" t="n">
        <v>457</v>
      </c>
      <c r="I5" s="11">
        <f>H5/$D$5</f>
        <v/>
      </c>
      <c r="J5" s="10">
        <f>K5-H5</f>
        <v/>
      </c>
      <c r="K5" s="10" t="n">
        <v>457</v>
      </c>
      <c r="L5" s="11">
        <f>K5/$D$5</f>
        <v/>
      </c>
      <c r="M5" s="12">
        <f>N5-K5</f>
        <v/>
      </c>
      <c r="N5" s="12" t="n">
        <v>458</v>
      </c>
      <c r="O5" s="13">
        <f>N5/$D$5</f>
        <v/>
      </c>
      <c r="P5" s="8" t="inlineStr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0" t="n"/>
      <c r="H6" s="10" t="n">
        <v>656</v>
      </c>
      <c r="I6" s="11">
        <f>H6/$D$6</f>
        <v/>
      </c>
      <c r="J6" s="10">
        <f>K6-H6</f>
        <v/>
      </c>
      <c r="K6" s="10" t="n">
        <v>656</v>
      </c>
      <c r="L6" s="11">
        <f>K6/$D$6</f>
        <v/>
      </c>
      <c r="M6" s="12">
        <f>N6-K6</f>
        <v/>
      </c>
      <c r="N6" s="12" t="n">
        <v>656</v>
      </c>
      <c r="O6" s="13">
        <f>N6/$D$6</f>
        <v/>
      </c>
      <c r="P6" s="8" t="inlineStr">
        <is>
          <t>Latest sales - Block A: 429 units, Block B: 227 units</t>
        </is>
      </c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0" t="n"/>
      <c r="H7" s="10" t="n">
        <v>241</v>
      </c>
      <c r="I7" s="11">
        <f>H7/$D$7</f>
        <v/>
      </c>
      <c r="J7" s="10">
        <f>K7-H7</f>
        <v/>
      </c>
      <c r="K7" s="10" t="n">
        <v>243</v>
      </c>
      <c r="L7" s="11">
        <f>K7/$D$7</f>
        <v/>
      </c>
      <c r="M7" s="12">
        <f>N7-K7</f>
        <v/>
      </c>
      <c r="N7" s="12" t="n">
        <v>248</v>
      </c>
      <c r="O7" s="13">
        <f>N7/$D$7</f>
        <v/>
      </c>
      <c r="P7" s="8" t="inlineStr">
        <is>
          <t>Latest sales - Block A: 248 units</t>
        </is>
      </c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31075-1,31075-2</t>
        </is>
      </c>
      <c r="F8" s="8" t="inlineStr"/>
      <c r="G8" s="10" t="n"/>
      <c r="H8" s="10" t="n">
        <v>1351</v>
      </c>
      <c r="I8" s="11">
        <f>H8/$D$8</f>
        <v/>
      </c>
      <c r="J8" s="10">
        <f>K8-H8</f>
        <v/>
      </c>
      <c r="K8" s="10" t="n">
        <v>1370</v>
      </c>
      <c r="L8" s="11">
        <f>K8/$D$8</f>
        <v/>
      </c>
      <c r="M8" s="12">
        <f>N8-K8</f>
        <v/>
      </c>
      <c r="N8" s="12" t="n">
        <v>1388</v>
      </c>
      <c r="O8" s="13">
        <f>N8/$D$8</f>
        <v/>
      </c>
      <c r="P8" s="8" t="inlineStr">
        <is>
          <t>Latest sales - Block 1B: 572 units, Block 1C: 532 units, Block 1D: 284 units</t>
        </is>
      </c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0" t="n"/>
      <c r="H9" s="10" t="n">
        <v>932</v>
      </c>
      <c r="I9" s="11">
        <f>H9/$D$9</f>
        <v/>
      </c>
      <c r="J9" s="10">
        <f>K9-H9</f>
        <v/>
      </c>
      <c r="K9" s="10" t="n">
        <v>933</v>
      </c>
      <c r="L9" s="11">
        <f>K9/$D$9</f>
        <v/>
      </c>
      <c r="M9" s="12">
        <f>N9-K9</f>
        <v/>
      </c>
      <c r="N9" s="12" t="n">
        <v>933</v>
      </c>
      <c r="O9" s="13">
        <f>N9/$D$9</f>
        <v/>
      </c>
      <c r="P9" s="8" t="inlineStr">
        <is>
          <t>Latest sales - Block A: 468 units, Block B: 465 units</t>
        </is>
      </c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0" t="n"/>
      <c r="H10" s="10" t="n"/>
      <c r="I10" s="11" t="n"/>
      <c r="J10" s="10" t="n"/>
      <c r="K10" s="10" t="n"/>
      <c r="L10" s="11" t="n"/>
      <c r="M10" s="12" t="n"/>
      <c r="N10" s="12" t="n">
        <v>0</v>
      </c>
      <c r="O10" s="13">
        <f>N10/$D$10</f>
        <v/>
      </c>
      <c r="P10" s="8" t="inlineStr"/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M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(SP SETIA)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0" t="n"/>
      <c r="H5" s="10" t="n">
        <v>97</v>
      </c>
      <c r="I5" s="11">
        <f>H5/$D$5</f>
        <v/>
      </c>
      <c r="J5" s="12">
        <f>K5-H5</f>
        <v/>
      </c>
      <c r="K5" s="12" t="n">
        <v>97</v>
      </c>
      <c r="L5" s="13">
        <f>K5/$D$5</f>
        <v/>
      </c>
      <c r="M5" s="8" t="inlineStr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0" t="n"/>
      <c r="H6" s="10" t="n">
        <v>109</v>
      </c>
      <c r="I6" s="11">
        <f>H6/$D$6</f>
        <v/>
      </c>
      <c r="J6" s="12">
        <f>K6-H6</f>
        <v/>
      </c>
      <c r="K6" s="12" t="n">
        <v>111</v>
      </c>
      <c r="L6" s="13">
        <f>K6/$D$6</f>
        <v/>
      </c>
      <c r="M6" s="8" t="inlineStr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0" t="n"/>
      <c r="H7" s="10" t="n">
        <v>37</v>
      </c>
      <c r="I7" s="11">
        <f>H7/$D$7</f>
        <v/>
      </c>
      <c r="J7" s="12">
        <f>K7-H7</f>
        <v/>
      </c>
      <c r="K7" s="12" t="n">
        <v>37</v>
      </c>
      <c r="L7" s="13">
        <f>K7/$D$7</f>
        <v/>
      </c>
      <c r="M7" s="8" t="inlineStr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0" t="n"/>
      <c r="H8" s="10" t="n">
        <v>92</v>
      </c>
      <c r="I8" s="11">
        <f>H8/$D$8</f>
        <v/>
      </c>
      <c r="J8" s="12">
        <f>K8-H8</f>
        <v/>
      </c>
      <c r="K8" s="12" t="n">
        <v>93</v>
      </c>
      <c r="L8" s="13">
        <f>K8/$D$8</f>
        <v/>
      </c>
      <c r="M8" s="8" t="inlineStr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0" t="n"/>
      <c r="H9" s="10" t="n">
        <v>4</v>
      </c>
      <c r="I9" s="11">
        <f>H9/$D$9</f>
        <v/>
      </c>
      <c r="J9" s="12">
        <f>K9-H9</f>
        <v/>
      </c>
      <c r="K9" s="12" t="n">
        <v>5</v>
      </c>
      <c r="L9" s="13">
        <f>K9/$D$9</f>
        <v/>
      </c>
      <c r="M9" s="8" t="inlineStr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0" t="n"/>
      <c r="H10" s="10" t="n">
        <v>9</v>
      </c>
      <c r="I10" s="11">
        <f>H10/$D$10</f>
        <v/>
      </c>
      <c r="J10" s="12">
        <f>K10-H10</f>
        <v/>
      </c>
      <c r="K10" s="12" t="n">
        <v>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0" t="n"/>
      <c r="H11" s="10" t="n">
        <v>0</v>
      </c>
      <c r="I11" s="11">
        <f>H11/$D$11</f>
        <v/>
      </c>
      <c r="J11" s="12">
        <f>K11-H11</f>
        <v/>
      </c>
      <c r="K11" s="12" t="n">
        <v>0</v>
      </c>
      <c r="L11" s="13">
        <f>K11/$D$11</f>
        <v/>
      </c>
      <c r="M11" s="8" t="inlineStr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0" t="n"/>
      <c r="H12" s="10" t="n">
        <v>15</v>
      </c>
      <c r="I12" s="11">
        <f>H12/$D$12</f>
        <v/>
      </c>
      <c r="J12" s="12">
        <f>K12-H12</f>
        <v/>
      </c>
      <c r="K12" s="12" t="n">
        <v>15</v>
      </c>
      <c r="L12" s="13">
        <f>K12/$D$12</f>
        <v/>
      </c>
      <c r="M12" s="8" t="inlineStr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0" t="n"/>
      <c r="H13" s="10" t="n">
        <v>20</v>
      </c>
      <c r="I13" s="11">
        <f>H13/$D$13</f>
        <v/>
      </c>
      <c r="J13" s="12">
        <f>K13-H13</f>
        <v/>
      </c>
      <c r="K13" s="12" t="n">
        <v>20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0" t="n"/>
      <c r="H14" s="10" t="n">
        <v>25</v>
      </c>
      <c r="I14" s="11">
        <f>H14/$D$14</f>
        <v/>
      </c>
      <c r="J14" s="12">
        <f>K14-H14</f>
        <v/>
      </c>
      <c r="K14" s="12" t="n">
        <v>25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0" t="n"/>
      <c r="H15" s="10" t="n">
        <v>5</v>
      </c>
      <c r="I15" s="11">
        <f>H15/$D$15</f>
        <v/>
      </c>
      <c r="J15" s="12">
        <f>K15-H15</f>
        <v/>
      </c>
      <c r="K15" s="12" t="n">
        <v>5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0" t="n"/>
      <c r="H16" s="10" t="n">
        <v>57</v>
      </c>
      <c r="I16" s="11">
        <f>H16/$D$16</f>
        <v/>
      </c>
      <c r="J16" s="12">
        <f>K16-H16</f>
        <v/>
      </c>
      <c r="K16" s="12" t="n">
        <v>57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0" t="n"/>
      <c r="H17" s="10" t="n">
        <v>378</v>
      </c>
      <c r="I17" s="11">
        <f>H17/$D$17</f>
        <v/>
      </c>
      <c r="J17" s="12">
        <f>K17-H17</f>
        <v/>
      </c>
      <c r="K17" s="12" t="n">
        <v>382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0" t="n"/>
      <c r="H18" s="10" t="n">
        <v>1</v>
      </c>
      <c r="I18" s="11">
        <f>H18/$D$18</f>
        <v/>
      </c>
      <c r="J18" s="12">
        <f>K18-H18</f>
        <v/>
      </c>
      <c r="K18" s="12" t="n">
        <v>1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0" t="n"/>
      <c r="H19" s="10" t="n">
        <v>71</v>
      </c>
      <c r="I19" s="11">
        <f>H19/$D$19</f>
        <v/>
      </c>
      <c r="J19" s="12">
        <f>K19-H19</f>
        <v/>
      </c>
      <c r="K19" s="12" t="n">
        <v>71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0" t="n"/>
      <c r="H20" s="10" t="n">
        <v>8</v>
      </c>
      <c r="I20" s="11">
        <f>H20/$D$20</f>
        <v/>
      </c>
      <c r="J20" s="12">
        <f>K20-H20</f>
        <v/>
      </c>
      <c r="K20" s="12" t="n">
        <v>8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0" t="n"/>
      <c r="H21" s="10" t="n">
        <v>26</v>
      </c>
      <c r="I21" s="11">
        <f>H21/$D$21</f>
        <v/>
      </c>
      <c r="J21" s="12">
        <f>K21-H21</f>
        <v/>
      </c>
      <c r="K21" s="12" t="n">
        <v>26</v>
      </c>
      <c r="L21" s="13">
        <f>K21/$D$21</f>
        <v/>
      </c>
      <c r="M21" s="8" t="inlineStr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0" t="n"/>
      <c r="H22" s="10" t="n">
        <v>0</v>
      </c>
      <c r="I22" s="11">
        <f>H22/$D$22</f>
        <v/>
      </c>
      <c r="J22" s="12">
        <f>K22-H22</f>
        <v/>
      </c>
      <c r="K22" s="12" t="n">
        <v>0</v>
      </c>
      <c r="L22" s="13">
        <f>K22/$D$22</f>
        <v/>
      </c>
      <c r="M22" s="8" t="inlineStr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0" t="n"/>
      <c r="H23" s="10" t="n">
        <v>49</v>
      </c>
      <c r="I23" s="11">
        <f>H23/$D$23</f>
        <v/>
      </c>
      <c r="J23" s="12">
        <f>K23-H23</f>
        <v/>
      </c>
      <c r="K23" s="12" t="n">
        <v>49</v>
      </c>
      <c r="L23" s="13">
        <f>K23/$D$23</f>
        <v/>
      </c>
      <c r="M23" s="8" t="inlineStr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0" t="n"/>
      <c r="H24" s="10" t="n">
        <v>94</v>
      </c>
      <c r="I24" s="11">
        <f>H24/$D$24</f>
        <v/>
      </c>
      <c r="J24" s="12">
        <f>K24-H24</f>
        <v/>
      </c>
      <c r="K24" s="12" t="n">
        <v>94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0" t="n"/>
      <c r="H25" s="10" t="n">
        <v>0</v>
      </c>
      <c r="I25" s="11">
        <f>H25/$D$25</f>
        <v/>
      </c>
      <c r="J25" s="12">
        <f>K25-H25</f>
        <v/>
      </c>
      <c r="K25" s="12" t="n">
        <v>0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0" t="n"/>
      <c r="H26" s="10" t="n">
        <v>640</v>
      </c>
      <c r="I26" s="11">
        <f>H26/$D$26</f>
        <v/>
      </c>
      <c r="J26" s="12">
        <f>K26-H26</f>
        <v/>
      </c>
      <c r="K26" s="12" t="n">
        <v>640</v>
      </c>
      <c r="L26" s="13">
        <f>K26/$D$26</f>
        <v/>
      </c>
      <c r="M26" s="8" t="inlineStr">
        <is>
          <t>Latest sales - Block A: 200 units, Block B: 200 units, Block C: 240 units</t>
        </is>
      </c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0" t="n"/>
      <c r="H27" s="10" t="n">
        <v>1</v>
      </c>
      <c r="I27" s="11">
        <f>H27/$D$27</f>
        <v/>
      </c>
      <c r="J27" s="12">
        <f>K27-H27</f>
        <v/>
      </c>
      <c r="K27" s="12" t="n">
        <v>1</v>
      </c>
      <c r="L27" s="13">
        <f>K27/$D$27</f>
        <v/>
      </c>
      <c r="M27" s="8" t="inlineStr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0" t="n"/>
      <c r="H28" s="10" t="n">
        <v>40</v>
      </c>
      <c r="I28" s="11">
        <f>H28/$D$28</f>
        <v/>
      </c>
      <c r="J28" s="12">
        <f>K28-H28</f>
        <v/>
      </c>
      <c r="K28" s="12" t="n">
        <v>40</v>
      </c>
      <c r="L28" s="13">
        <f>K28/$D$28</f>
        <v/>
      </c>
      <c r="M28" s="8" t="inlineStr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0" t="n"/>
      <c r="H29" s="10" t="n">
        <v>32</v>
      </c>
      <c r="I29" s="11">
        <f>H29/$D$29</f>
        <v/>
      </c>
      <c r="J29" s="12">
        <f>K29-H29</f>
        <v/>
      </c>
      <c r="K29" s="12" t="n">
        <v>31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0" t="n"/>
      <c r="H30" s="10" t="n">
        <v>8</v>
      </c>
      <c r="I30" s="11">
        <f>H30/$D$30</f>
        <v/>
      </c>
      <c r="J30" s="12">
        <f>K30-H30</f>
        <v/>
      </c>
      <c r="K30" s="12" t="n">
        <v>8</v>
      </c>
      <c r="L30" s="13">
        <f>K30/$D$30</f>
        <v/>
      </c>
      <c r="M30" s="8" t="inlineStr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0" t="n"/>
      <c r="H31" s="10" t="n">
        <v>27</v>
      </c>
      <c r="I31" s="11">
        <f>H31/$D$31</f>
        <v/>
      </c>
      <c r="J31" s="12">
        <f>K31-H31</f>
        <v/>
      </c>
      <c r="K31" s="12" t="n">
        <v>27</v>
      </c>
      <c r="L31" s="13">
        <f>K31/$D$31</f>
        <v/>
      </c>
      <c r="M31" s="8" t="inlineStr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0" t="n"/>
      <c r="H32" s="10" t="n">
        <v>37</v>
      </c>
      <c r="I32" s="11">
        <f>H32/$D$32</f>
        <v/>
      </c>
      <c r="J32" s="12">
        <f>K32-H32</f>
        <v/>
      </c>
      <c r="K32" s="12" t="n">
        <v>38</v>
      </c>
      <c r="L32" s="13">
        <f>K32/$D$32</f>
        <v/>
      </c>
      <c r="M32" s="8" t="inlineStr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0" t="n"/>
      <c r="H33" s="10" t="n">
        <v>232</v>
      </c>
      <c r="I33" s="11">
        <f>H33/$D$33</f>
        <v/>
      </c>
      <c r="J33" s="12">
        <f>K33-H33</f>
        <v/>
      </c>
      <c r="K33" s="12" t="n">
        <v>236</v>
      </c>
      <c r="L33" s="13">
        <f>K33/$D$33</f>
        <v/>
      </c>
      <c r="M33" s="8" t="inlineStr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0" t="n"/>
      <c r="H34" s="10" t="n">
        <v>10</v>
      </c>
      <c r="I34" s="11">
        <f>H34/$D$34</f>
        <v/>
      </c>
      <c r="J34" s="12">
        <f>K34-H34</f>
        <v/>
      </c>
      <c r="K34" s="12" t="n">
        <v>10</v>
      </c>
      <c r="L34" s="13">
        <f>K34/$D$34</f>
        <v/>
      </c>
      <c r="M34" s="8" t="inlineStr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0" t="n"/>
      <c r="H35" s="10" t="n">
        <v>10</v>
      </c>
      <c r="I35" s="11">
        <f>H35/$D$35</f>
        <v/>
      </c>
      <c r="J35" s="12">
        <f>K35-H35</f>
        <v/>
      </c>
      <c r="K35" s="12" t="n">
        <v>10</v>
      </c>
      <c r="L35" s="13">
        <f>K35/$D$35</f>
        <v/>
      </c>
      <c r="M35" s="8" t="inlineStr">
        <is>
          <t>Latest sales - Block A: 2 units, Block C: 1 units, Block G: 2 units, Block H: 1 units, Block J: 2 units, Block L: 2 units</t>
        </is>
      </c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0" t="n"/>
      <c r="H36" s="10" t="n">
        <v>37</v>
      </c>
      <c r="I36" s="11">
        <f>H36/$D$36</f>
        <v/>
      </c>
      <c r="J36" s="12">
        <f>K36-H36</f>
        <v/>
      </c>
      <c r="K36" s="12" t="n">
        <v>37</v>
      </c>
      <c r="L36" s="13">
        <f>K36/$D$36</f>
        <v/>
      </c>
      <c r="M36" s="8" t="inlineStr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0" t="n"/>
      <c r="H37" s="10" t="n">
        <v>37</v>
      </c>
      <c r="I37" s="11">
        <f>H37/$D$37</f>
        <v/>
      </c>
      <c r="J37" s="12">
        <f>K37-H37</f>
        <v/>
      </c>
      <c r="K37" s="12" t="n">
        <v>37</v>
      </c>
      <c r="L37" s="13">
        <f>K37/$D$37</f>
        <v/>
      </c>
      <c r="M37" s="8" t="inlineStr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0" t="n"/>
      <c r="H38" s="10" t="n">
        <v>28</v>
      </c>
      <c r="I38" s="11">
        <f>H38/$D$38</f>
        <v/>
      </c>
      <c r="J38" s="12">
        <f>K38-H38</f>
        <v/>
      </c>
      <c r="K38" s="12" t="n">
        <v>28</v>
      </c>
      <c r="L38" s="13">
        <f>K38/$D$38</f>
        <v/>
      </c>
      <c r="M38" s="8" t="inlineStr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0" t="n"/>
      <c r="H39" s="10" t="n">
        <v>30</v>
      </c>
      <c r="I39" s="11">
        <f>H39/$D$39</f>
        <v/>
      </c>
      <c r="J39" s="12">
        <f>K39-H39</f>
        <v/>
      </c>
      <c r="K39" s="12" t="n">
        <v>30</v>
      </c>
      <c r="L39" s="13">
        <f>K39/$D$39</f>
        <v/>
      </c>
      <c r="M39" s="8" t="inlineStr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0" t="n"/>
      <c r="H40" s="10" t="n">
        <v>0</v>
      </c>
      <c r="I40" s="11">
        <f>H40/$D$40</f>
        <v/>
      </c>
      <c r="J40" s="12">
        <f>K40-H40</f>
        <v/>
      </c>
      <c r="K40" s="12" t="n">
        <v>0</v>
      </c>
      <c r="L40" s="13">
        <f>K40/$D$40</f>
        <v/>
      </c>
      <c r="M40" s="8" t="inlineStr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0" t="n"/>
      <c r="H41" s="10" t="n">
        <v>201</v>
      </c>
      <c r="I41" s="11">
        <f>H41/$D$41</f>
        <v/>
      </c>
      <c r="J41" s="12">
        <f>K41-H41</f>
        <v/>
      </c>
      <c r="K41" s="12" t="n">
        <v>203</v>
      </c>
      <c r="L41" s="13">
        <f>K41/$D$41</f>
        <v/>
      </c>
      <c r="M41" s="8" t="inlineStr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0" t="n"/>
      <c r="H42" s="10" t="n">
        <v>52</v>
      </c>
      <c r="I42" s="11">
        <f>H42/$D$42</f>
        <v/>
      </c>
      <c r="J42" s="12">
        <f>K42-H42</f>
        <v/>
      </c>
      <c r="K42" s="12" t="n">
        <v>52</v>
      </c>
      <c r="L42" s="13">
        <f>K42/$D$42</f>
        <v/>
      </c>
      <c r="M42" s="8" t="inlineStr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0" t="n"/>
      <c r="H43" s="10" t="n">
        <v>26</v>
      </c>
      <c r="I43" s="11">
        <f>H43/$D$43</f>
        <v/>
      </c>
      <c r="J43" s="12">
        <f>K43-H43</f>
        <v/>
      </c>
      <c r="K43" s="12" t="n">
        <v>27</v>
      </c>
      <c r="L43" s="13">
        <f>K43/$D$43</f>
        <v/>
      </c>
      <c r="M43" s="8" t="inlineStr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0" t="n"/>
      <c r="H44" s="10" t="n">
        <v>0</v>
      </c>
      <c r="I44" s="11">
        <f>H44/$D$44</f>
        <v/>
      </c>
      <c r="J44" s="12">
        <f>K44-H44</f>
        <v/>
      </c>
      <c r="K44" s="12" t="n">
        <v>0</v>
      </c>
      <c r="L44" s="13">
        <f>K44/$D$44</f>
        <v/>
      </c>
      <c r="M44" s="8" t="inlineStr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0" t="n"/>
      <c r="H45" s="10" t="n">
        <v>341</v>
      </c>
      <c r="I45" s="11">
        <f>H45/$D$45</f>
        <v/>
      </c>
      <c r="J45" s="12">
        <f>K45-H45</f>
        <v/>
      </c>
      <c r="K45" s="12" t="n">
        <v>342</v>
      </c>
      <c r="L45" s="13">
        <f>K45/$D$45</f>
        <v/>
      </c>
      <c r="M45" s="8" t="inlineStr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0" t="n"/>
      <c r="H46" s="10" t="n">
        <v>36</v>
      </c>
      <c r="I46" s="11">
        <f>H46/$D$46</f>
        <v/>
      </c>
      <c r="J46" s="12">
        <f>K46-H46</f>
        <v/>
      </c>
      <c r="K46" s="12" t="n">
        <v>36</v>
      </c>
      <c r="L46" s="13">
        <f>K46/$D$46</f>
        <v/>
      </c>
      <c r="M46" s="8" t="inlineStr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0" t="n"/>
      <c r="H47" s="10" t="n">
        <v>75</v>
      </c>
      <c r="I47" s="11">
        <f>H47/$D$47</f>
        <v/>
      </c>
      <c r="J47" s="12">
        <f>K47-H47</f>
        <v/>
      </c>
      <c r="K47" s="12" t="n">
        <v>75</v>
      </c>
      <c r="L47" s="13">
        <f>K47/$D$47</f>
        <v/>
      </c>
      <c r="M47" s="8" t="inlineStr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0" t="n"/>
      <c r="H48" s="10" t="n">
        <v>68</v>
      </c>
      <c r="I48" s="11">
        <f>H48/$D$48</f>
        <v/>
      </c>
      <c r="J48" s="12">
        <f>K48-H48</f>
        <v/>
      </c>
      <c r="K48" s="12" t="n">
        <v>68</v>
      </c>
      <c r="L48" s="13">
        <f>K48/$D$48</f>
        <v/>
      </c>
      <c r="M48" s="8" t="inlineStr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0" t="n"/>
      <c r="H49" s="10" t="n">
        <v>17</v>
      </c>
      <c r="I49" s="11">
        <f>H49/$D$49</f>
        <v/>
      </c>
      <c r="J49" s="12">
        <f>K49-H49</f>
        <v/>
      </c>
      <c r="K49" s="12" t="n">
        <v>17</v>
      </c>
      <c r="L49" s="13">
        <f>K49/$D$49</f>
        <v/>
      </c>
      <c r="M49" s="8" t="inlineStr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0" t="n"/>
      <c r="H50" s="10" t="n">
        <v>111</v>
      </c>
      <c r="I50" s="11">
        <f>H50/$D$50</f>
        <v/>
      </c>
      <c r="J50" s="12">
        <f>K50-H50</f>
        <v/>
      </c>
      <c r="K50" s="12" t="n">
        <v>115</v>
      </c>
      <c r="L50" s="13">
        <f>K50/$D$50</f>
        <v/>
      </c>
      <c r="M50" s="8" t="inlineStr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0" t="n"/>
      <c r="H51" s="10" t="n">
        <v>0</v>
      </c>
      <c r="I51" s="11">
        <f>H51/$D$51</f>
        <v/>
      </c>
      <c r="J51" s="12">
        <f>K51-H51</f>
        <v/>
      </c>
      <c r="K51" s="12" t="n">
        <v>0</v>
      </c>
      <c r="L51" s="13">
        <f>K51/$D$51</f>
        <v/>
      </c>
      <c r="M51" s="8" t="inlineStr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0" t="n"/>
      <c r="H52" s="10" t="n">
        <v>102</v>
      </c>
      <c r="I52" s="11">
        <f>H52/$D$52</f>
        <v/>
      </c>
      <c r="J52" s="12">
        <f>K52-H52</f>
        <v/>
      </c>
      <c r="K52" s="12" t="n">
        <v>102</v>
      </c>
      <c r="L52" s="13">
        <f>K52/$D$52</f>
        <v/>
      </c>
      <c r="M52" s="8" t="inlineStr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0" t="n"/>
      <c r="H53" s="10" t="n">
        <v>8</v>
      </c>
      <c r="I53" s="11">
        <f>H53/$D$53</f>
        <v/>
      </c>
      <c r="J53" s="12">
        <f>K53-H53</f>
        <v/>
      </c>
      <c r="K53" s="12" t="n">
        <v>8</v>
      </c>
      <c r="L53" s="13">
        <f>K53/$D$53</f>
        <v/>
      </c>
      <c r="M53" s="8" t="inlineStr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0" t="n"/>
      <c r="H54" s="10" t="n">
        <v>0</v>
      </c>
      <c r="I54" s="11">
        <f>H54/$D$54</f>
        <v/>
      </c>
      <c r="J54" s="12">
        <f>K54-H54</f>
        <v/>
      </c>
      <c r="K54" s="12" t="n">
        <v>0</v>
      </c>
      <c r="L54" s="13">
        <f>K54/$D$54</f>
        <v/>
      </c>
      <c r="M54" s="8" t="inlineStr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0" t="n"/>
      <c r="H55" s="10" t="n">
        <v>27</v>
      </c>
      <c r="I55" s="11">
        <f>H55/$D$55</f>
        <v/>
      </c>
      <c r="J55" s="12">
        <f>K55-H55</f>
        <v/>
      </c>
      <c r="K55" s="12" t="n">
        <v>28</v>
      </c>
      <c r="L55" s="13">
        <f>K55/$D$55</f>
        <v/>
      </c>
      <c r="M55" s="8" t="inlineStr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0" t="n"/>
      <c r="H56" s="10" t="n">
        <v>94</v>
      </c>
      <c r="I56" s="11">
        <f>H56/$D$56</f>
        <v/>
      </c>
      <c r="J56" s="12">
        <f>K56-H56</f>
        <v/>
      </c>
      <c r="K56" s="12" t="n">
        <v>94</v>
      </c>
      <c r="L56" s="13">
        <f>K56/$D$56</f>
        <v/>
      </c>
      <c r="M56" s="8" t="inlineStr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0" t="n"/>
      <c r="H57" s="10" t="n">
        <v>45</v>
      </c>
      <c r="I57" s="11">
        <f>H57/$D$57</f>
        <v/>
      </c>
      <c r="J57" s="12">
        <f>K57-H57</f>
        <v/>
      </c>
      <c r="K57" s="12" t="n">
        <v>45</v>
      </c>
      <c r="L57" s="13">
        <f>K57/$D$57</f>
        <v/>
      </c>
      <c r="M57" s="8" t="inlineStr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0" t="n"/>
      <c r="H58" s="10" t="n">
        <v>23</v>
      </c>
      <c r="I58" s="11">
        <f>H58/$D$58</f>
        <v/>
      </c>
      <c r="J58" s="12">
        <f>K58-H58</f>
        <v/>
      </c>
      <c r="K58" s="12" t="n">
        <v>24</v>
      </c>
      <c r="L58" s="13">
        <f>K58/$D$58</f>
        <v/>
      </c>
      <c r="M58" s="8" t="inlineStr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0" t="n"/>
      <c r="H59" s="10" t="n">
        <v>19</v>
      </c>
      <c r="I59" s="11">
        <f>H59/$D$59</f>
        <v/>
      </c>
      <c r="J59" s="12">
        <f>K59-H59</f>
        <v/>
      </c>
      <c r="K59" s="12" t="n">
        <v>18</v>
      </c>
      <c r="L59" s="13">
        <f>K59/$D$59</f>
        <v/>
      </c>
      <c r="M59" s="8" t="inlineStr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0" t="n"/>
      <c r="H60" s="10" t="n">
        <v>11</v>
      </c>
      <c r="I60" s="11">
        <f>H60/$D$60</f>
        <v/>
      </c>
      <c r="J60" s="12">
        <f>K60-H60</f>
        <v/>
      </c>
      <c r="K60" s="12" t="n">
        <v>11</v>
      </c>
      <c r="L60" s="13">
        <f>K60/$D$60</f>
        <v/>
      </c>
      <c r="M60" s="8" t="inlineStr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0" t="n"/>
      <c r="H61" s="10" t="n">
        <v>29</v>
      </c>
      <c r="I61" s="11">
        <f>H61/$D$61</f>
        <v/>
      </c>
      <c r="J61" s="12">
        <f>K61-H61</f>
        <v/>
      </c>
      <c r="K61" s="12" t="n">
        <v>29</v>
      </c>
      <c r="L61" s="13">
        <f>K61/$D$61</f>
        <v/>
      </c>
      <c r="M61" s="8" t="inlineStr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0" t="n"/>
      <c r="H62" s="10" t="n">
        <v>52</v>
      </c>
      <c r="I62" s="11">
        <f>H62/$D$62</f>
        <v/>
      </c>
      <c r="J62" s="12">
        <f>K62-H62</f>
        <v/>
      </c>
      <c r="K62" s="12" t="n">
        <v>52</v>
      </c>
      <c r="L62" s="13">
        <f>K62/$D$62</f>
        <v/>
      </c>
      <c r="M62" s="8" t="inlineStr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0" t="n"/>
      <c r="H63" s="10" t="n">
        <v>77</v>
      </c>
      <c r="I63" s="11">
        <f>H63/$D$63</f>
        <v/>
      </c>
      <c r="J63" s="12">
        <f>K63-H63</f>
        <v/>
      </c>
      <c r="K63" s="12" t="n">
        <v>77</v>
      </c>
      <c r="L63" s="13">
        <f>K63/$D$63</f>
        <v/>
      </c>
      <c r="M63" s="8" t="inlineStr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0" t="n"/>
      <c r="H64" s="10" t="n">
        <v>13</v>
      </c>
      <c r="I64" s="11">
        <f>H64/$D$64</f>
        <v/>
      </c>
      <c r="J64" s="12">
        <f>K64-H64</f>
        <v/>
      </c>
      <c r="K64" s="12" t="n">
        <v>13</v>
      </c>
      <c r="L64" s="13">
        <f>K64/$D$64</f>
        <v/>
      </c>
      <c r="M64" s="8" t="inlineStr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0" t="n"/>
      <c r="H65" s="10" t="n">
        <v>80</v>
      </c>
      <c r="I65" s="11">
        <f>H65/$D$65</f>
        <v/>
      </c>
      <c r="J65" s="12">
        <f>K65-H65</f>
        <v/>
      </c>
      <c r="K65" s="12" t="n">
        <v>80</v>
      </c>
      <c r="L65" s="13">
        <f>K65/$D$65</f>
        <v/>
      </c>
      <c r="M65" s="8" t="inlineStr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0" t="n"/>
      <c r="H66" s="10" t="n">
        <v>13</v>
      </c>
      <c r="I66" s="11">
        <f>H66/$D$66</f>
        <v/>
      </c>
      <c r="J66" s="12">
        <f>K66-H66</f>
        <v/>
      </c>
      <c r="K66" s="12" t="n">
        <v>13</v>
      </c>
      <c r="L66" s="13">
        <f>K66/$D$66</f>
        <v/>
      </c>
      <c r="M66" s="8" t="inlineStr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0" t="n"/>
      <c r="H67" s="10" t="n">
        <v>233</v>
      </c>
      <c r="I67" s="11">
        <f>H67/$D$67</f>
        <v/>
      </c>
      <c r="J67" s="12">
        <f>K67-H67</f>
        <v/>
      </c>
      <c r="K67" s="12" t="n">
        <v>235</v>
      </c>
      <c r="L67" s="13">
        <f>K67/$D$67</f>
        <v/>
      </c>
      <c r="M67" s="8" t="inlineStr">
        <is>
          <t>Latest sales - Block A: 147 units, Block B: 88 units</t>
        </is>
      </c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0" t="n"/>
      <c r="H68" s="10" t="n">
        <v>27</v>
      </c>
      <c r="I68" s="11">
        <f>H68/$D$68</f>
        <v/>
      </c>
      <c r="J68" s="12">
        <f>K68-H68</f>
        <v/>
      </c>
      <c r="K68" s="12" t="n">
        <v>28</v>
      </c>
      <c r="L68" s="13">
        <f>K68/$D$68</f>
        <v/>
      </c>
      <c r="M68" s="8" t="inlineStr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0" t="n"/>
      <c r="H69" s="10" t="n">
        <v>1</v>
      </c>
      <c r="I69" s="11">
        <f>H69/$D$69</f>
        <v/>
      </c>
      <c r="J69" s="12">
        <f>K69-H69</f>
        <v/>
      </c>
      <c r="K69" s="12" t="n">
        <v>1</v>
      </c>
      <c r="L69" s="13">
        <f>K69/$D$69</f>
        <v/>
      </c>
      <c r="M69" s="8" t="inlineStr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0" t="n"/>
      <c r="H70" s="10" t="n">
        <v>115</v>
      </c>
      <c r="I70" s="11">
        <f>H70/$D$70</f>
        <v/>
      </c>
      <c r="J70" s="12">
        <f>K70-H70</f>
        <v/>
      </c>
      <c r="K70" s="12" t="n">
        <v>115</v>
      </c>
      <c r="L70" s="13">
        <f>K70/$D$70</f>
        <v/>
      </c>
      <c r="M70" s="8" t="inlineStr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0" t="n"/>
      <c r="H71" s="10" t="n">
        <v>33</v>
      </c>
      <c r="I71" s="11">
        <f>H71/$D$71</f>
        <v/>
      </c>
      <c r="J71" s="12">
        <f>K71-H71</f>
        <v/>
      </c>
      <c r="K71" s="12" t="n">
        <v>33</v>
      </c>
      <c r="L71" s="13">
        <f>K71/$D$71</f>
        <v/>
      </c>
      <c r="M71" s="8" t="inlineStr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0" t="n"/>
      <c r="H72" s="10" t="n">
        <v>84</v>
      </c>
      <c r="I72" s="11">
        <f>H72/$D$72</f>
        <v/>
      </c>
      <c r="J72" s="12">
        <f>K72-H72</f>
        <v/>
      </c>
      <c r="K72" s="12" t="n">
        <v>84</v>
      </c>
      <c r="L72" s="13">
        <f>K72/$D$72</f>
        <v/>
      </c>
      <c r="M72" s="8" t="inlineStr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0" t="n"/>
      <c r="H73" s="10" t="n">
        <v>40</v>
      </c>
      <c r="I73" s="11">
        <f>H73/$D$73</f>
        <v/>
      </c>
      <c r="J73" s="12">
        <f>K73-H73</f>
        <v/>
      </c>
      <c r="K73" s="12" t="n">
        <v>40</v>
      </c>
      <c r="L73" s="13">
        <f>K73/$D$73</f>
        <v/>
      </c>
      <c r="M73" s="8" t="inlineStr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0" t="n"/>
      <c r="H74" s="10" t="n">
        <v>6</v>
      </c>
      <c r="I74" s="11">
        <f>H74/$D$74</f>
        <v/>
      </c>
      <c r="J74" s="12">
        <f>K74-H74</f>
        <v/>
      </c>
      <c r="K74" s="12" t="n">
        <v>6</v>
      </c>
      <c r="L74" s="13">
        <f>K74/$D$74</f>
        <v/>
      </c>
      <c r="M74" s="8" t="inlineStr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0" t="n"/>
      <c r="H75" s="10" t="n">
        <v>32</v>
      </c>
      <c r="I75" s="11">
        <f>H75/$D$75</f>
        <v/>
      </c>
      <c r="J75" s="12">
        <f>K75-H75</f>
        <v/>
      </c>
      <c r="K75" s="12" t="n">
        <v>34</v>
      </c>
      <c r="L75" s="13">
        <f>K75/$D$75</f>
        <v/>
      </c>
      <c r="M75" s="8" t="inlineStr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0" t="n"/>
      <c r="H76" s="10" t="n">
        <v>6</v>
      </c>
      <c r="I76" s="11">
        <f>H76/$D$76</f>
        <v/>
      </c>
      <c r="J76" s="12">
        <f>K76-H76</f>
        <v/>
      </c>
      <c r="K76" s="12" t="n">
        <v>6</v>
      </c>
      <c r="L76" s="13">
        <f>K76/$D$76</f>
        <v/>
      </c>
      <c r="M76" s="8" t="inlineStr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0" t="n"/>
      <c r="H77" s="10" t="n">
        <v>89</v>
      </c>
      <c r="I77" s="11">
        <f>H77/$D$77</f>
        <v/>
      </c>
      <c r="J77" s="12">
        <f>K77-H77</f>
        <v/>
      </c>
      <c r="K77" s="12" t="n">
        <v>89</v>
      </c>
      <c r="L77" s="13">
        <f>K77/$D$77</f>
        <v/>
      </c>
      <c r="M77" s="8" t="inlineStr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0" t="n"/>
      <c r="H78" s="10" t="n">
        <v>227</v>
      </c>
      <c r="I78" s="11">
        <f>H78/$D$78</f>
        <v/>
      </c>
      <c r="J78" s="12">
        <f>K78-H78</f>
        <v/>
      </c>
      <c r="K78" s="12" t="n">
        <v>227</v>
      </c>
      <c r="L78" s="13">
        <f>K78/$D$78</f>
        <v/>
      </c>
      <c r="M78" s="8" t="inlineStr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0" t="n"/>
      <c r="H79" s="10" t="n">
        <v>0</v>
      </c>
      <c r="I79" s="11">
        <f>H79/$D$79</f>
        <v/>
      </c>
      <c r="J79" s="12">
        <f>K79-H79</f>
        <v/>
      </c>
      <c r="K79" s="12" t="n">
        <v>0</v>
      </c>
      <c r="L79" s="13">
        <f>K79/$D$79</f>
        <v/>
      </c>
      <c r="M79" s="8" t="inlineStr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0" t="n"/>
      <c r="H80" s="10" t="n">
        <v>156</v>
      </c>
      <c r="I80" s="11">
        <f>H80/$D$80</f>
        <v/>
      </c>
      <c r="J80" s="12">
        <f>K80-H80</f>
        <v/>
      </c>
      <c r="K80" s="12" t="n">
        <v>156</v>
      </c>
      <c r="L80" s="13">
        <f>K80/$D$80</f>
        <v/>
      </c>
      <c r="M80" s="8" t="inlineStr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0" t="n"/>
      <c r="H81" s="10" t="n">
        <v>147</v>
      </c>
      <c r="I81" s="11">
        <f>H81/$D$81</f>
        <v/>
      </c>
      <c r="J81" s="12">
        <f>K81-H81</f>
        <v/>
      </c>
      <c r="K81" s="12" t="n">
        <v>147</v>
      </c>
      <c r="L81" s="13">
        <f>K81/$D$81</f>
        <v/>
      </c>
      <c r="M81" s="8" t="inlineStr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0" t="n"/>
      <c r="H82" s="10" t="n">
        <v>73</v>
      </c>
      <c r="I82" s="11">
        <f>H82/$D$82</f>
        <v/>
      </c>
      <c r="J82" s="12">
        <f>K82-H82</f>
        <v/>
      </c>
      <c r="K82" s="12" t="n">
        <v>73</v>
      </c>
      <c r="L82" s="13">
        <f>K82/$D$82</f>
        <v/>
      </c>
      <c r="M82" s="8" t="inlineStr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0" t="n"/>
      <c r="H83" s="10" t="n">
        <v>88</v>
      </c>
      <c r="I83" s="11">
        <f>H83/$D$83</f>
        <v/>
      </c>
      <c r="J83" s="12">
        <f>K83-H83</f>
        <v/>
      </c>
      <c r="K83" s="12" t="n">
        <v>88</v>
      </c>
      <c r="L83" s="13">
        <f>K83/$D$83</f>
        <v/>
      </c>
      <c r="M83" s="8" t="inlineStr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0" t="n"/>
      <c r="H84" s="10" t="n">
        <v>44</v>
      </c>
      <c r="I84" s="11">
        <f>H84/$D$84</f>
        <v/>
      </c>
      <c r="J84" s="12">
        <f>K84-H84</f>
        <v/>
      </c>
      <c r="K84" s="12" t="n">
        <v>44</v>
      </c>
      <c r="L84" s="13">
        <f>K84/$D$84</f>
        <v/>
      </c>
      <c r="M84" s="8" t="inlineStr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0" t="n"/>
      <c r="H85" s="10" t="n">
        <v>44</v>
      </c>
      <c r="I85" s="11">
        <f>H85/$D$85</f>
        <v/>
      </c>
      <c r="J85" s="12">
        <f>K85-H85</f>
        <v/>
      </c>
      <c r="K85" s="12" t="n">
        <v>44</v>
      </c>
      <c r="L85" s="13">
        <f>K85/$D$85</f>
        <v/>
      </c>
      <c r="M85" s="8" t="inlineStr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0" t="n"/>
      <c r="H86" s="10" t="n">
        <v>111</v>
      </c>
      <c r="I86" s="11">
        <f>H86/$D$86</f>
        <v/>
      </c>
      <c r="J86" s="12">
        <f>K86-H86</f>
        <v/>
      </c>
      <c r="K86" s="12" t="n">
        <v>111</v>
      </c>
      <c r="L86" s="13">
        <f>K86/$D$86</f>
        <v/>
      </c>
      <c r="M86" s="8" t="inlineStr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0" t="n"/>
      <c r="H87" s="10" t="n">
        <v>88</v>
      </c>
      <c r="I87" s="11">
        <f>H87/$D$87</f>
        <v/>
      </c>
      <c r="J87" s="12">
        <f>K87-H87</f>
        <v/>
      </c>
      <c r="K87" s="12" t="n">
        <v>88</v>
      </c>
      <c r="L87" s="13">
        <f>K87/$D$87</f>
        <v/>
      </c>
      <c r="M87" s="8" t="inlineStr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0" t="n"/>
      <c r="H88" s="10" t="n">
        <v>43</v>
      </c>
      <c r="I88" s="11">
        <f>H88/$D$88</f>
        <v/>
      </c>
      <c r="J88" s="12">
        <f>K88-H88</f>
        <v/>
      </c>
      <c r="K88" s="12" t="n">
        <v>43</v>
      </c>
      <c r="L88" s="13">
        <f>K88/$D$88</f>
        <v/>
      </c>
      <c r="M88" s="8" t="inlineStr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0" t="n"/>
      <c r="H89" s="10" t="n">
        <v>46</v>
      </c>
      <c r="I89" s="11">
        <f>H89/$D$89</f>
        <v/>
      </c>
      <c r="J89" s="12">
        <f>K89-H89</f>
        <v/>
      </c>
      <c r="K89" s="12" t="n">
        <v>46</v>
      </c>
      <c r="L89" s="13">
        <f>K89/$D$89</f>
        <v/>
      </c>
      <c r="M89" s="8" t="inlineStr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0" t="n"/>
      <c r="H90" s="10" t="n">
        <v>89</v>
      </c>
      <c r="I90" s="11">
        <f>H90/$D$90</f>
        <v/>
      </c>
      <c r="J90" s="12">
        <f>K90-H90</f>
        <v/>
      </c>
      <c r="K90" s="12" t="n">
        <v>89</v>
      </c>
      <c r="L90" s="13">
        <f>K90/$D$90</f>
        <v/>
      </c>
      <c r="M90" s="8" t="inlineStr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0" t="n"/>
      <c r="H91" s="10" t="n">
        <v>272</v>
      </c>
      <c r="I91" s="11">
        <f>H91/$D$91</f>
        <v/>
      </c>
      <c r="J91" s="12">
        <f>K91-H91</f>
        <v/>
      </c>
      <c r="K91" s="12" t="n">
        <v>272</v>
      </c>
      <c r="L91" s="13">
        <f>K91/$D$91</f>
        <v/>
      </c>
      <c r="M91" s="8" t="inlineStr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0" t="n"/>
      <c r="H92" s="10" t="n">
        <v>186</v>
      </c>
      <c r="I92" s="11">
        <f>H92/$D$92</f>
        <v/>
      </c>
      <c r="J92" s="12">
        <f>K92-H92</f>
        <v/>
      </c>
      <c r="K92" s="12" t="n">
        <v>186</v>
      </c>
      <c r="L92" s="13">
        <f>K92/$D$92</f>
        <v/>
      </c>
      <c r="M92" s="8" t="inlineStr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0" t="n"/>
      <c r="H93" s="10" t="n">
        <v>122</v>
      </c>
      <c r="I93" s="11">
        <f>H93/$D$93</f>
        <v/>
      </c>
      <c r="J93" s="12">
        <f>K93-H93</f>
        <v/>
      </c>
      <c r="K93" s="12" t="n">
        <v>122</v>
      </c>
      <c r="L93" s="13">
        <f>K93/$D$93</f>
        <v/>
      </c>
      <c r="M93" s="8" t="inlineStr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0" t="n"/>
      <c r="H94" s="10" t="n">
        <v>0</v>
      </c>
      <c r="I94" s="11">
        <f>H94/$D$94</f>
        <v/>
      </c>
      <c r="J94" s="12">
        <f>K94-H94</f>
        <v/>
      </c>
      <c r="K94" s="12" t="n">
        <v>0</v>
      </c>
      <c r="L94" s="13">
        <f>K94/$D$94</f>
        <v/>
      </c>
      <c r="M94" s="8" t="inlineStr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0" t="n"/>
      <c r="H95" s="10" t="n">
        <v>138</v>
      </c>
      <c r="I95" s="11">
        <f>H95/$D$95</f>
        <v/>
      </c>
      <c r="J95" s="12">
        <f>K95-H95</f>
        <v/>
      </c>
      <c r="K95" s="12" t="n">
        <v>138</v>
      </c>
      <c r="L95" s="13">
        <f>K95/$D$95</f>
        <v/>
      </c>
      <c r="M95" s="8" t="inlineStr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0" t="n"/>
      <c r="H96" s="10" t="n">
        <v>152</v>
      </c>
      <c r="I96" s="11">
        <f>H96/$D$96</f>
        <v/>
      </c>
      <c r="J96" s="12">
        <f>K96-H96</f>
        <v/>
      </c>
      <c r="K96" s="12" t="n">
        <v>152</v>
      </c>
      <c r="L96" s="13">
        <f>K96/$D$96</f>
        <v/>
      </c>
      <c r="M96" s="8" t="inlineStr">
        <is>
          <t>Latest sales - Block LH: 1 units</t>
        </is>
      </c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0" t="n"/>
      <c r="H97" s="10" t="n">
        <v>55</v>
      </c>
      <c r="I97" s="11">
        <f>H97/$D$97</f>
        <v/>
      </c>
      <c r="J97" s="12">
        <f>K97-H97</f>
        <v/>
      </c>
      <c r="K97" s="12" t="n">
        <v>55</v>
      </c>
      <c r="L97" s="13">
        <f>K97/$D$97</f>
        <v/>
      </c>
      <c r="M97" s="8" t="inlineStr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0" t="n"/>
      <c r="H98" s="10" t="n">
        <v>97</v>
      </c>
      <c r="I98" s="11">
        <f>H98/$D$98</f>
        <v/>
      </c>
      <c r="J98" s="12">
        <f>K98-H98</f>
        <v/>
      </c>
      <c r="K98" s="12" t="n">
        <v>97</v>
      </c>
      <c r="L98" s="13">
        <f>K98/$D$98</f>
        <v/>
      </c>
      <c r="M98" s="8" t="inlineStr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0" t="n"/>
      <c r="H99" s="10" t="n">
        <v>92</v>
      </c>
      <c r="I99" s="11">
        <f>H99/$D$99</f>
        <v/>
      </c>
      <c r="J99" s="12">
        <f>K99-H99</f>
        <v/>
      </c>
      <c r="K99" s="12" t="n">
        <v>92</v>
      </c>
      <c r="L99" s="13">
        <f>K99/$D$99</f>
        <v/>
      </c>
      <c r="M99" s="8" t="inlineStr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0" t="n"/>
      <c r="H100" s="10" t="n">
        <v>114</v>
      </c>
      <c r="I100" s="11">
        <f>H100/$D$100</f>
        <v/>
      </c>
      <c r="J100" s="12">
        <f>K100-H100</f>
        <v/>
      </c>
      <c r="K100" s="12" t="n">
        <v>114</v>
      </c>
      <c r="L100" s="13">
        <f>K100/$D$100</f>
        <v/>
      </c>
      <c r="M100" s="8" t="inlineStr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0" t="n"/>
      <c r="H101" s="10" t="n">
        <v>80</v>
      </c>
      <c r="I101" s="11">
        <f>H101/$D$101</f>
        <v/>
      </c>
      <c r="J101" s="12">
        <f>K101-H101</f>
        <v/>
      </c>
      <c r="K101" s="12" t="n">
        <v>80</v>
      </c>
      <c r="L101" s="13">
        <f>K101/$D$101</f>
        <v/>
      </c>
      <c r="M101" s="8" t="inlineStr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0" t="n"/>
      <c r="H102" s="10" t="n">
        <v>67</v>
      </c>
      <c r="I102" s="11">
        <f>H102/$D$102</f>
        <v/>
      </c>
      <c r="J102" s="12">
        <f>K102-H102</f>
        <v/>
      </c>
      <c r="K102" s="12" t="n">
        <v>67</v>
      </c>
      <c r="L102" s="13">
        <f>K102/$D$102</f>
        <v/>
      </c>
      <c r="M102" s="8" t="inlineStr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0" t="n"/>
      <c r="H103" s="10" t="n">
        <v>48</v>
      </c>
      <c r="I103" s="11">
        <f>H103/$D$103</f>
        <v/>
      </c>
      <c r="J103" s="12">
        <f>K103-H103</f>
        <v/>
      </c>
      <c r="K103" s="12" t="n">
        <v>48</v>
      </c>
      <c r="L103" s="13">
        <f>K103/$D$103</f>
        <v/>
      </c>
      <c r="M103" s="8" t="inlineStr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0" t="n"/>
      <c r="H104" s="10" t="n">
        <v>45</v>
      </c>
      <c r="I104" s="11">
        <f>H104/$D$104</f>
        <v/>
      </c>
      <c r="J104" s="12">
        <f>K104-H104</f>
        <v/>
      </c>
      <c r="K104" s="12" t="n">
        <v>45</v>
      </c>
      <c r="L104" s="13">
        <f>K104/$D$104</f>
        <v/>
      </c>
      <c r="M104" s="8" t="inlineStr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0" t="n"/>
      <c r="H105" s="10" t="n">
        <v>65</v>
      </c>
      <c r="I105" s="11">
        <f>H105/$D$105</f>
        <v/>
      </c>
      <c r="J105" s="12">
        <f>K105-H105</f>
        <v/>
      </c>
      <c r="K105" s="12" t="n">
        <v>65</v>
      </c>
      <c r="L105" s="13">
        <f>K105/$D$105</f>
        <v/>
      </c>
      <c r="M105" s="8" t="inlineStr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0" t="n"/>
      <c r="H106" s="10" t="n">
        <v>105</v>
      </c>
      <c r="I106" s="11">
        <f>H106/$D$106</f>
        <v/>
      </c>
      <c r="J106" s="12">
        <f>K106-H106</f>
        <v/>
      </c>
      <c r="K106" s="12" t="n">
        <v>105</v>
      </c>
      <c r="L106" s="13">
        <f>K106/$D$106</f>
        <v/>
      </c>
      <c r="M106" s="8" t="inlineStr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0" t="n"/>
      <c r="H107" s="10" t="n">
        <v>69</v>
      </c>
      <c r="I107" s="11">
        <f>H107/$D$107</f>
        <v/>
      </c>
      <c r="J107" s="12">
        <f>K107-H107</f>
        <v/>
      </c>
      <c r="K107" s="12" t="n">
        <v>69</v>
      </c>
      <c r="L107" s="13">
        <f>K107/$D$107</f>
        <v/>
      </c>
      <c r="M107" s="8" t="inlineStr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0" t="n"/>
      <c r="H108" s="10" t="n">
        <v>62</v>
      </c>
      <c r="I108" s="11">
        <f>H108/$D$108</f>
        <v/>
      </c>
      <c r="J108" s="12">
        <f>K108-H108</f>
        <v/>
      </c>
      <c r="K108" s="12" t="n">
        <v>62</v>
      </c>
      <c r="L108" s="13">
        <f>K108/$D$108</f>
        <v/>
      </c>
      <c r="M108" s="8" t="inlineStr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0" t="n"/>
      <c r="H109" s="10" t="n">
        <v>76</v>
      </c>
      <c r="I109" s="11">
        <f>H109/$D$109</f>
        <v/>
      </c>
      <c r="J109" s="12">
        <f>K109-H109</f>
        <v/>
      </c>
      <c r="K109" s="12" t="n">
        <v>76</v>
      </c>
      <c r="L109" s="13">
        <f>K109/$D$109</f>
        <v/>
      </c>
      <c r="M109" s="8" t="inlineStr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0" t="n"/>
      <c r="H110" s="10" t="n">
        <v>25</v>
      </c>
      <c r="I110" s="11">
        <f>H110/$D$110</f>
        <v/>
      </c>
      <c r="J110" s="12">
        <f>K110-H110</f>
        <v/>
      </c>
      <c r="K110" s="12" t="n">
        <v>25</v>
      </c>
      <c r="L110" s="13">
        <f>K110/$D$110</f>
        <v/>
      </c>
      <c r="M110" s="8" t="inlineStr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0" t="n"/>
      <c r="H111" s="10" t="n">
        <v>66</v>
      </c>
      <c r="I111" s="11">
        <f>H111/$D$111</f>
        <v/>
      </c>
      <c r="J111" s="12">
        <f>K111-H111</f>
        <v/>
      </c>
      <c r="K111" s="12" t="n">
        <v>66</v>
      </c>
      <c r="L111" s="13">
        <f>K111/$D$111</f>
        <v/>
      </c>
      <c r="M111" s="8" t="inlineStr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0" t="n"/>
      <c r="H112" s="10" t="n">
        <v>2</v>
      </c>
      <c r="I112" s="11">
        <f>H112/$D$112</f>
        <v/>
      </c>
      <c r="J112" s="12">
        <f>K112-H112</f>
        <v/>
      </c>
      <c r="K112" s="12" t="n">
        <v>2</v>
      </c>
      <c r="L112" s="13">
        <f>K112/$D$112</f>
        <v/>
      </c>
      <c r="M112" s="8" t="inlineStr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0" t="n"/>
      <c r="H113" s="10" t="n">
        <v>78</v>
      </c>
      <c r="I113" s="11">
        <f>H113/$D$113</f>
        <v/>
      </c>
      <c r="J113" s="12">
        <f>K113-H113</f>
        <v/>
      </c>
      <c r="K113" s="12" t="n">
        <v>78</v>
      </c>
      <c r="L113" s="13">
        <f>K113/$D$113</f>
        <v/>
      </c>
      <c r="M113" s="8" t="inlineStr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0" t="n"/>
      <c r="H114" s="10" t="n">
        <v>77</v>
      </c>
      <c r="I114" s="11">
        <f>H114/$D$114</f>
        <v/>
      </c>
      <c r="J114" s="12">
        <f>K114-H114</f>
        <v/>
      </c>
      <c r="K114" s="12" t="n">
        <v>77</v>
      </c>
      <c r="L114" s="13">
        <f>K114/$D$114</f>
        <v/>
      </c>
      <c r="M114" s="8" t="inlineStr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0" t="n"/>
      <c r="H115" s="10" t="n">
        <v>34</v>
      </c>
      <c r="I115" s="11">
        <f>H115/$D$115</f>
        <v/>
      </c>
      <c r="J115" s="12">
        <f>K115-H115</f>
        <v/>
      </c>
      <c r="K115" s="12" t="n">
        <v>34</v>
      </c>
      <c r="L115" s="13">
        <f>K115/$D$115</f>
        <v/>
      </c>
      <c r="M115" s="8" t="inlineStr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0" t="n"/>
      <c r="H116" s="10" t="n">
        <v>18</v>
      </c>
      <c r="I116" s="11">
        <f>H116/$D$116</f>
        <v/>
      </c>
      <c r="J116" s="12">
        <f>K116-H116</f>
        <v/>
      </c>
      <c r="K116" s="12" t="n">
        <v>18</v>
      </c>
      <c r="L116" s="13">
        <f>K116/$D$116</f>
        <v/>
      </c>
      <c r="M116" s="8" t="inlineStr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0" t="n"/>
      <c r="H117" s="10" t="n">
        <v>9</v>
      </c>
      <c r="I117" s="11">
        <f>H117/$D$117</f>
        <v/>
      </c>
      <c r="J117" s="12">
        <f>K117-H117</f>
        <v/>
      </c>
      <c r="K117" s="12" t="n">
        <v>9</v>
      </c>
      <c r="L117" s="13">
        <f>K117/$D$117</f>
        <v/>
      </c>
      <c r="M117" s="8" t="inlineStr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0" t="n"/>
      <c r="H118" s="10" t="n">
        <v>29</v>
      </c>
      <c r="I118" s="11">
        <f>H118/$D$118</f>
        <v/>
      </c>
      <c r="J118" s="12">
        <f>K118-H118</f>
        <v/>
      </c>
      <c r="K118" s="12" t="n">
        <v>29</v>
      </c>
      <c r="L118" s="13">
        <f>K118/$D$118</f>
        <v/>
      </c>
      <c r="M118" s="8" t="inlineStr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0" t="n"/>
      <c r="H119" s="10" t="n">
        <v>8</v>
      </c>
      <c r="I119" s="11">
        <f>H119/$D$119</f>
        <v/>
      </c>
      <c r="J119" s="12">
        <f>K119-H119</f>
        <v/>
      </c>
      <c r="K119" s="12" t="n">
        <v>8</v>
      </c>
      <c r="L119" s="13">
        <f>K119/$D$119</f>
        <v/>
      </c>
      <c r="M119" s="8" t="inlineStr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0" t="n"/>
      <c r="H120" s="10" t="n">
        <v>20</v>
      </c>
      <c r="I120" s="11">
        <f>H120/$D$120</f>
        <v/>
      </c>
      <c r="J120" s="12">
        <f>K120-H120</f>
        <v/>
      </c>
      <c r="K120" s="12" t="n">
        <v>20</v>
      </c>
      <c r="L120" s="13">
        <f>K120/$D$120</f>
        <v/>
      </c>
      <c r="M120" s="8" t="inlineStr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0" t="n"/>
      <c r="H121" s="10" t="n">
        <v>176</v>
      </c>
      <c r="I121" s="11">
        <f>H121/$D$121</f>
        <v/>
      </c>
      <c r="J121" s="12">
        <f>K121-H121</f>
        <v/>
      </c>
      <c r="K121" s="12" t="n">
        <v>176</v>
      </c>
      <c r="L121" s="13">
        <f>K121/$D$121</f>
        <v/>
      </c>
      <c r="M121" s="8" t="inlineStr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0" t="n"/>
      <c r="H122" s="10" t="n">
        <v>134</v>
      </c>
      <c r="I122" s="11">
        <f>H122/$D$122</f>
        <v/>
      </c>
      <c r="J122" s="12">
        <f>K122-H122</f>
        <v/>
      </c>
      <c r="K122" s="12" t="n">
        <v>134</v>
      </c>
      <c r="L122" s="13">
        <f>K122/$D$122</f>
        <v/>
      </c>
      <c r="M122" s="8" t="inlineStr"/>
    </row>
  </sheetData>
  <mergeCells count="2">
    <mergeCell ref="J3:L3"/>
    <mergeCell ref="G3:I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(TRINITY GROUP)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0" t="n"/>
      <c r="H5" s="10" t="n">
        <v>36</v>
      </c>
      <c r="I5" s="11">
        <f>H5/$D$5</f>
        <v/>
      </c>
      <c r="J5" s="10">
        <f>K5-H5</f>
        <v/>
      </c>
      <c r="K5" s="10" t="n">
        <v>36</v>
      </c>
      <c r="L5" s="11">
        <f>K5/$D$5</f>
        <v/>
      </c>
      <c r="M5" s="12">
        <f>N5-K5</f>
        <v/>
      </c>
      <c r="N5" s="12" t="n">
        <v>35</v>
      </c>
      <c r="O5" s="13">
        <f>N5/$D$5</f>
        <v/>
      </c>
      <c r="P5" s="8" t="inlineStr">
        <is>
          <t>Latest sales - Block A: 1 units, Block B: 34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0" t="n"/>
      <c r="H6" s="10" t="n">
        <v>348</v>
      </c>
      <c r="I6" s="11">
        <f>H6/$D$6</f>
        <v/>
      </c>
      <c r="J6" s="10">
        <f>K6-H6</f>
        <v/>
      </c>
      <c r="K6" s="10" t="n">
        <v>348</v>
      </c>
      <c r="L6" s="11">
        <f>K6/$D$6</f>
        <v/>
      </c>
      <c r="M6" s="12">
        <f>N6-K6</f>
        <v/>
      </c>
      <c r="N6" s="12" t="n">
        <v>347</v>
      </c>
      <c r="O6" s="13">
        <f>N6/$D$6</f>
        <v/>
      </c>
      <c r="P6" s="8" t="inlineStr">
        <is>
          <t>Latest sales - Block A1: 45 units, Block A2: 203 units, Block B: 99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0" t="n"/>
      <c r="H8" s="10" t="n"/>
      <c r="I8" s="11" t="n"/>
      <c r="J8" s="10" t="n"/>
      <c r="K8" s="10" t="n"/>
      <c r="L8" s="11" t="n"/>
      <c r="M8" s="12" t="n"/>
      <c r="N8" s="12" t="n"/>
      <c r="O8" s="13" t="n"/>
      <c r="P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0" t="n"/>
      <c r="H9" s="10" t="n"/>
      <c r="I9" s="11" t="n"/>
      <c r="J9" s="10" t="n"/>
      <c r="K9" s="10" t="n"/>
      <c r="L9" s="11" t="n"/>
      <c r="M9" s="12" t="n"/>
      <c r="N9" s="12" t="n"/>
      <c r="O9" s="13" t="n"/>
      <c r="P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0" t="n"/>
      <c r="H11" s="10" t="n"/>
      <c r="I11" s="11" t="n"/>
      <c r="J11" s="10" t="n"/>
      <c r="K11" s="10" t="n"/>
      <c r="L11" s="11" t="n"/>
      <c r="M11" s="12" t="n"/>
      <c r="N11" s="12" t="n"/>
      <c r="O11" s="13" t="n"/>
      <c r="P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0" t="n"/>
      <c r="H12" s="10" t="n"/>
      <c r="I12" s="11" t="n"/>
      <c r="J12" s="10" t="n"/>
      <c r="K12" s="10" t="n"/>
      <c r="L12" s="11" t="n"/>
      <c r="M12" s="12" t="n"/>
      <c r="N12" s="12" t="n"/>
      <c r="O12" s="13" t="n"/>
      <c r="P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0" t="n"/>
      <c r="H13" s="10" t="n">
        <v>333</v>
      </c>
      <c r="I13" s="11">
        <f>H13/$D$13</f>
        <v/>
      </c>
      <c r="J13" s="10">
        <f>K13-H13</f>
        <v/>
      </c>
      <c r="K13" s="10" t="n">
        <v>336</v>
      </c>
      <c r="L13" s="11">
        <f>K13/$D$13</f>
        <v/>
      </c>
      <c r="M13" s="12">
        <f>N13-K13</f>
        <v/>
      </c>
      <c r="N13" s="12" t="n">
        <v>340</v>
      </c>
      <c r="O13" s="13">
        <f>N13/$D$13</f>
        <v/>
      </c>
      <c r="P13" s="8" t="inlineStr">
        <is>
          <t>Latest sales - Block A: 196 units, Block B: 144 units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46" customWidth="1" min="16" max="16"/>
  </cols>
  <sheetData>
    <row r="2">
      <c r="A2" s="1" t="inlineStr">
        <is>
          <t>Report as at 18/09/2026</t>
        </is>
      </c>
    </row>
    <row r="3">
      <c r="A3" s="2" t="inlineStr">
        <is>
          <t>WEEKLY TEDUH SALES REPORT (TS LAW)</t>
        </is>
      </c>
      <c r="G3" s="3" t="n">
        <v>46269</v>
      </c>
      <c r="J3" s="3" t="n">
        <v>46276</v>
      </c>
      <c r="M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TOTAL %</t>
        </is>
      </c>
      <c r="M4" s="6" t="inlineStr">
        <is>
          <t>NEW SALES</t>
        </is>
      </c>
      <c r="N4" s="6" t="inlineStr">
        <is>
          <t>TOTAL SOLD</t>
        </is>
      </c>
      <c r="O4" s="6" t="inlineStr">
        <is>
          <t>TOTAL %</t>
        </is>
      </c>
      <c r="P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0" t="n"/>
      <c r="H5" s="10" t="n">
        <v>1400</v>
      </c>
      <c r="I5" s="11">
        <f>H5/$D$5</f>
        <v/>
      </c>
      <c r="J5" s="10">
        <f>K5-H5</f>
        <v/>
      </c>
      <c r="K5" s="10" t="n">
        <v>1401</v>
      </c>
      <c r="L5" s="11">
        <f>K5/$D$5</f>
        <v/>
      </c>
      <c r="M5" s="12">
        <f>N5-K5</f>
        <v/>
      </c>
      <c r="N5" s="12" t="n">
        <v>1404</v>
      </c>
      <c r="O5" s="13">
        <f>N5/$D$5</f>
        <v/>
      </c>
      <c r="P5" s="8" t="inlineStr">
        <is>
          <t>Latest sales - Block A: 728 units, Block B: 676 units</t>
        </is>
      </c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0" t="n"/>
      <c r="H6" s="10" t="n">
        <v>1825</v>
      </c>
      <c r="I6" s="11">
        <f>H6/$D$6</f>
        <v/>
      </c>
      <c r="J6" s="10">
        <f>K6-H6</f>
        <v/>
      </c>
      <c r="K6" s="10" t="n">
        <v>1825</v>
      </c>
      <c r="L6" s="11">
        <f>K6/$D$6</f>
        <v/>
      </c>
      <c r="M6" s="12">
        <f>N6-K6</f>
        <v/>
      </c>
      <c r="N6" s="12" t="n">
        <v>1825</v>
      </c>
      <c r="O6" s="13">
        <f>N6/$D$6</f>
        <v/>
      </c>
      <c r="P6" s="8" t="inlineStr">
        <is>
          <t>Latest sales - Block A: 937 units, Block B: 888 units</t>
        </is>
      </c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0" t="n"/>
      <c r="H7" s="10" t="n"/>
      <c r="I7" s="11" t="n"/>
      <c r="J7" s="10" t="n"/>
      <c r="K7" s="10" t="n"/>
      <c r="L7" s="11" t="n"/>
      <c r="M7" s="12" t="n"/>
      <c r="N7" s="12" t="n"/>
      <c r="O7" s="13" t="n"/>
      <c r="P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0" t="n"/>
      <c r="H8" s="10" t="n">
        <v>42</v>
      </c>
      <c r="I8" s="11">
        <f>H8/$D$8</f>
        <v/>
      </c>
      <c r="J8" s="10">
        <f>K8-H8</f>
        <v/>
      </c>
      <c r="K8" s="10" t="n">
        <v>42</v>
      </c>
      <c r="L8" s="11">
        <f>K8/$D$8</f>
        <v/>
      </c>
      <c r="M8" s="12">
        <f>N8-K8</f>
        <v/>
      </c>
      <c r="N8" s="12" t="n">
        <v>42</v>
      </c>
      <c r="O8" s="13">
        <f>N8/$D$8</f>
        <v/>
      </c>
      <c r="P8" s="8" t="inlineStr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19760-1,19760-2</t>
        </is>
      </c>
      <c r="F9" s="8" t="inlineStr"/>
      <c r="G9" s="10" t="n"/>
      <c r="H9" s="10" t="n">
        <v>1286</v>
      </c>
      <c r="I9" s="11">
        <f>H9/$D$9</f>
        <v/>
      </c>
      <c r="J9" s="10">
        <f>K9-H9</f>
        <v/>
      </c>
      <c r="K9" s="10" t="n">
        <v>1286</v>
      </c>
      <c r="L9" s="11">
        <f>K9/$D$9</f>
        <v/>
      </c>
      <c r="M9" s="12">
        <f>N9-K9</f>
        <v/>
      </c>
      <c r="N9" s="12" t="n">
        <v>1286</v>
      </c>
      <c r="O9" s="13">
        <f>N9/$D$9</f>
        <v/>
      </c>
      <c r="P9" s="8" t="inlineStr">
        <is>
          <t>Latest sales - Block A: 431 units, Block B: 424 units, Block C: 431 units</t>
        </is>
      </c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/>
      <c r="F10" s="8" t="inlineStr"/>
      <c r="G10" s="10" t="n"/>
      <c r="H10" s="10" t="n"/>
      <c r="I10" s="11" t="n"/>
      <c r="J10" s="10" t="n"/>
      <c r="K10" s="10" t="n"/>
      <c r="L10" s="11" t="n"/>
      <c r="M10" s="12" t="n"/>
      <c r="N10" s="12" t="n"/>
      <c r="O10" s="13" t="n"/>
      <c r="P10" s="8" t="inlineStr">
        <is>
          <t>Not launched yet.</t>
        </is>
      </c>
    </row>
  </sheetData>
  <mergeCells count="3">
    <mergeCell ref="J3:L3"/>
    <mergeCell ref="G3:I3"/>
    <mergeCell ref="M3:O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M3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46" customWidth="1" min="13" max="13"/>
  </cols>
  <sheetData>
    <row r="2">
      <c r="A2" s="1" t="inlineStr">
        <is>
          <t>Report as at 18/09/2026</t>
        </is>
      </c>
    </row>
    <row r="3">
      <c r="A3" s="2" t="inlineStr">
        <is>
          <t>WEEKLY TEDUH SALES REPORT (UEM)</t>
        </is>
      </c>
      <c r="G3" s="3" t="n">
        <v>46276</v>
      </c>
      <c r="J3" s="4" t="n">
        <v>46283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TOTAL %</t>
        </is>
      </c>
      <c r="J4" s="6" t="inlineStr">
        <is>
          <t>NEW SALES</t>
        </is>
      </c>
      <c r="K4" s="6" t="inlineStr">
        <is>
          <t>TOTAL SOLD</t>
        </is>
      </c>
      <c r="L4" s="6" t="inlineStr">
        <is>
          <t>TOTAL %</t>
        </is>
      </c>
      <c r="M4" s="5" t="inlineStr">
        <is>
          <t>NOTES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0" t="n"/>
      <c r="H5" s="10" t="n">
        <v>1215</v>
      </c>
      <c r="I5" s="11">
        <f>H5/$D$5</f>
        <v/>
      </c>
      <c r="J5" s="12">
        <f>K5-H5</f>
        <v/>
      </c>
      <c r="K5" s="12" t="n">
        <v>1223</v>
      </c>
      <c r="L5" s="13">
        <f>K5/$D$5</f>
        <v/>
      </c>
      <c r="M5" s="8" t="inlineStr">
        <is>
          <t>Latest sales - Block A: 633 units, Block B: 590 units</t>
        </is>
      </c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0" t="n"/>
      <c r="H6" s="10" t="n">
        <v>49</v>
      </c>
      <c r="I6" s="11">
        <f>H6/$D$6</f>
        <v/>
      </c>
      <c r="J6" s="12">
        <f>K6-H6</f>
        <v/>
      </c>
      <c r="K6" s="12" t="n">
        <v>51</v>
      </c>
      <c r="L6" s="13">
        <f>K6/$D$6</f>
        <v/>
      </c>
      <c r="M6" s="8" t="inlineStr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0" t="n"/>
      <c r="H7" s="10" t="n">
        <v>15</v>
      </c>
      <c r="I7" s="11">
        <f>H7/$D$7</f>
        <v/>
      </c>
      <c r="J7" s="12">
        <f>K7-H7</f>
        <v/>
      </c>
      <c r="K7" s="12" t="n">
        <v>15</v>
      </c>
      <c r="L7" s="13">
        <f>K7/$D$7</f>
        <v/>
      </c>
      <c r="M7" s="8" t="inlineStr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0" t="n"/>
      <c r="H8" s="10" t="n">
        <v>2</v>
      </c>
      <c r="I8" s="11">
        <f>H8/$D$8</f>
        <v/>
      </c>
      <c r="J8" s="12">
        <f>K8-H8</f>
        <v/>
      </c>
      <c r="K8" s="12" t="n">
        <v>2</v>
      </c>
      <c r="L8" s="13">
        <f>K8/$D$8</f>
        <v/>
      </c>
      <c r="M8" s="8" t="inlineStr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0" t="n"/>
      <c r="H9" s="10" t="n">
        <v>8</v>
      </c>
      <c r="I9" s="11">
        <f>H9/$D$9</f>
        <v/>
      </c>
      <c r="J9" s="12">
        <f>K9-H9</f>
        <v/>
      </c>
      <c r="K9" s="12" t="n">
        <v>8</v>
      </c>
      <c r="L9" s="13">
        <f>K9/$D$9</f>
        <v/>
      </c>
      <c r="M9" s="8" t="inlineStr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0" t="n"/>
      <c r="H10" s="10" t="n">
        <v>21</v>
      </c>
      <c r="I10" s="11">
        <f>H10/$D$10</f>
        <v/>
      </c>
      <c r="J10" s="12">
        <f>K10-H10</f>
        <v/>
      </c>
      <c r="K10" s="12" t="n">
        <v>29</v>
      </c>
      <c r="L10" s="13">
        <f>K10/$D$10</f>
        <v/>
      </c>
      <c r="M10" s="8" t="inlineStr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0" t="n"/>
      <c r="H11" s="10" t="n">
        <v>130</v>
      </c>
      <c r="I11" s="11">
        <f>H11/$D$11</f>
        <v/>
      </c>
      <c r="J11" s="12">
        <f>K11-H11</f>
        <v/>
      </c>
      <c r="K11" s="12" t="n">
        <v>130</v>
      </c>
      <c r="L11" s="13">
        <f>K11/$D$11</f>
        <v/>
      </c>
      <c r="M11" s="8" t="inlineStr">
        <is>
          <t>Latest sales - Block 1: 130 units</t>
        </is>
      </c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0" t="n"/>
      <c r="H12" s="10" t="n">
        <v>23</v>
      </c>
      <c r="I12" s="11">
        <f>H12/$D$12</f>
        <v/>
      </c>
      <c r="J12" s="12">
        <f>K12-H12</f>
        <v/>
      </c>
      <c r="K12" s="12" t="n">
        <v>24</v>
      </c>
      <c r="L12" s="13">
        <f>K12/$D$12</f>
        <v/>
      </c>
      <c r="M12" s="8" t="inlineStr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0" t="n"/>
      <c r="H13" s="10" t="n">
        <v>81</v>
      </c>
      <c r="I13" s="11">
        <f>H13/$D$13</f>
        <v/>
      </c>
      <c r="J13" s="12">
        <f>K13-H13</f>
        <v/>
      </c>
      <c r="K13" s="12" t="n">
        <v>84</v>
      </c>
      <c r="L13" s="13">
        <f>K13/$D$13</f>
        <v/>
      </c>
      <c r="M13" s="8" t="inlineStr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0" t="n"/>
      <c r="H14" s="10" t="n">
        <v>121</v>
      </c>
      <c r="I14" s="11">
        <f>H14/$D$14</f>
        <v/>
      </c>
      <c r="J14" s="12">
        <f>K14-H14</f>
        <v/>
      </c>
      <c r="K14" s="12" t="n">
        <v>121</v>
      </c>
      <c r="L14" s="13">
        <f>K14/$D$14</f>
        <v/>
      </c>
      <c r="M14" s="8" t="inlineStr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0" t="n"/>
      <c r="H15" s="10" t="n">
        <v>110</v>
      </c>
      <c r="I15" s="11">
        <f>H15/$D$15</f>
        <v/>
      </c>
      <c r="J15" s="12">
        <f>K15-H15</f>
        <v/>
      </c>
      <c r="K15" s="12" t="n">
        <v>111</v>
      </c>
      <c r="L15" s="13">
        <f>K15/$D$15</f>
        <v/>
      </c>
      <c r="M15" s="8" t="inlineStr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0" t="n"/>
      <c r="H16" s="10" t="n">
        <v>171</v>
      </c>
      <c r="I16" s="11">
        <f>H16/$D$16</f>
        <v/>
      </c>
      <c r="J16" s="12">
        <f>K16-H16</f>
        <v/>
      </c>
      <c r="K16" s="12" t="n">
        <v>171</v>
      </c>
      <c r="L16" s="13">
        <f>K16/$D$16</f>
        <v/>
      </c>
      <c r="M16" s="8" t="inlineStr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0" t="n"/>
      <c r="H17" s="10" t="n">
        <v>55</v>
      </c>
      <c r="I17" s="11">
        <f>H17/$D$17</f>
        <v/>
      </c>
      <c r="J17" s="12">
        <f>K17-H17</f>
        <v/>
      </c>
      <c r="K17" s="12" t="n">
        <v>55</v>
      </c>
      <c r="L17" s="13">
        <f>K17/$D$17</f>
        <v/>
      </c>
      <c r="M17" s="8" t="inlineStr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0" t="n"/>
      <c r="H18" s="10" t="n">
        <v>34</v>
      </c>
      <c r="I18" s="11">
        <f>H18/$D$18</f>
        <v/>
      </c>
      <c r="J18" s="12">
        <f>K18-H18</f>
        <v/>
      </c>
      <c r="K18" s="12" t="n">
        <v>35</v>
      </c>
      <c r="L18" s="13">
        <f>K18/$D$18</f>
        <v/>
      </c>
      <c r="M18" s="8" t="inlineStr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0" t="n"/>
      <c r="H19" s="10" t="n">
        <v>61</v>
      </c>
      <c r="I19" s="11">
        <f>H19/$D$19</f>
        <v/>
      </c>
      <c r="J19" s="12">
        <f>K19-H19</f>
        <v/>
      </c>
      <c r="K19" s="12" t="n">
        <v>61</v>
      </c>
      <c r="L19" s="13">
        <f>K19/$D$19</f>
        <v/>
      </c>
      <c r="M19" s="8" t="inlineStr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0" t="n"/>
      <c r="H20" s="10" t="n">
        <v>62</v>
      </c>
      <c r="I20" s="11">
        <f>H20/$D$20</f>
        <v/>
      </c>
      <c r="J20" s="12">
        <f>K20-H20</f>
        <v/>
      </c>
      <c r="K20" s="12" t="n">
        <v>62</v>
      </c>
      <c r="L20" s="13">
        <f>K20/$D$20</f>
        <v/>
      </c>
      <c r="M20" s="8" t="inlineStr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0" t="n"/>
      <c r="H21" s="10" t="n">
        <v>496</v>
      </c>
      <c r="I21" s="11">
        <f>H21/$D$21</f>
        <v/>
      </c>
      <c r="J21" s="12">
        <f>K21-H21</f>
        <v/>
      </c>
      <c r="K21" s="12" t="n">
        <v>496</v>
      </c>
      <c r="L21" s="13">
        <f>K21/$D$21</f>
        <v/>
      </c>
      <c r="M21" s="8" t="inlineStr">
        <is>
          <t>Latest sales - Block A: 245 units, Block B: 251 units</t>
        </is>
      </c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0" t="n"/>
      <c r="H22" s="10" t="n">
        <v>39</v>
      </c>
      <c r="I22" s="11">
        <f>H22/$D$22</f>
        <v/>
      </c>
      <c r="J22" s="12">
        <f>K22-H22</f>
        <v/>
      </c>
      <c r="K22" s="12" t="n">
        <v>59</v>
      </c>
      <c r="L22" s="13">
        <f>K22/$D$22</f>
        <v/>
      </c>
      <c r="M22" s="8" t="inlineStr">
        <is>
          <t>Latest sales - Block A: 35 units, Block B: 24 units</t>
        </is>
      </c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0" t="n"/>
      <c r="H23" s="10" t="n">
        <v>786</v>
      </c>
      <c r="I23" s="11">
        <f>H23/$D$23</f>
        <v/>
      </c>
      <c r="J23" s="12">
        <f>K23-H23</f>
        <v/>
      </c>
      <c r="K23" s="12" t="n">
        <v>789</v>
      </c>
      <c r="L23" s="13">
        <f>K23/$D$23</f>
        <v/>
      </c>
      <c r="M23" s="8" t="inlineStr">
        <is>
          <t>Latest sales - Block A: 245 units, Block B: 297 units, Block C: 247 units</t>
        </is>
      </c>
    </row>
    <row r="24">
      <c r="A24" s="7" t="n">
        <v>20</v>
      </c>
      <c r="B24" s="8" t="inlineStr">
        <is>
          <t>Oskar Residence</t>
        </is>
      </c>
      <c r="C24" s="9" t="n">
        <v>45322</v>
      </c>
      <c r="D24" s="10" t="n">
        <v>283</v>
      </c>
      <c r="E24" s="7" t="inlineStr">
        <is>
          <t>8024-13</t>
        </is>
      </c>
      <c r="F24" s="8" t="inlineStr">
        <is>
          <t>SUNRISE MCL LAND SDN. BHD.</t>
        </is>
      </c>
      <c r="G24" s="10" t="n"/>
      <c r="H24" s="10" t="n">
        <v>217</v>
      </c>
      <c r="I24" s="11">
        <f>H24/$D$24</f>
        <v/>
      </c>
      <c r="J24" s="12">
        <f>K24-H24</f>
        <v/>
      </c>
      <c r="K24" s="12" t="n">
        <v>217</v>
      </c>
      <c r="L24" s="13">
        <f>K24/$D$24</f>
        <v/>
      </c>
      <c r="M24" s="8" t="inlineStr"/>
    </row>
    <row r="25">
      <c r="A25" s="7" t="n">
        <v>21</v>
      </c>
      <c r="B25" s="8" t="inlineStr">
        <is>
          <t>Arden Hill Precinct 2</t>
        </is>
      </c>
      <c r="C25" s="9" t="n">
        <v>45467</v>
      </c>
      <c r="D25" s="10" t="n">
        <v>218</v>
      </c>
      <c r="E25" s="7" t="inlineStr">
        <is>
          <t>8024-14</t>
        </is>
      </c>
      <c r="F25" s="8" t="inlineStr">
        <is>
          <t>SUNRISE MCL LAND SDN. BHD.</t>
        </is>
      </c>
      <c r="G25" s="10" t="n"/>
      <c r="H25" s="10" t="n">
        <v>147</v>
      </c>
      <c r="I25" s="11">
        <f>H25/$D$25</f>
        <v/>
      </c>
      <c r="J25" s="12">
        <f>K25-H25</f>
        <v/>
      </c>
      <c r="K25" s="12" t="n">
        <v>148</v>
      </c>
      <c r="L25" s="13">
        <f>K25/$D$25</f>
        <v/>
      </c>
      <c r="M25" s="8" t="inlineStr"/>
    </row>
    <row r="26">
      <c r="A26" s="7" t="n">
        <v>22</v>
      </c>
      <c r="B26" s="8" t="inlineStr">
        <is>
          <t>KAIA Heights @ Equine Park</t>
        </is>
      </c>
      <c r="C26" s="9" t="n">
        <v>44245</v>
      </c>
      <c r="D26" s="10" t="n">
        <v>924</v>
      </c>
      <c r="E26" s="7" t="inlineStr">
        <is>
          <t>20047-1,20047-2</t>
        </is>
      </c>
      <c r="F26" s="8" t="inlineStr">
        <is>
          <t>SUNRISE ALLIANCE SDN. BHD.</t>
        </is>
      </c>
      <c r="G26" s="10" t="n"/>
      <c r="H26" s="10" t="n">
        <v>381</v>
      </c>
      <c r="I26" s="11">
        <f>H26/$D$26</f>
        <v/>
      </c>
      <c r="J26" s="12">
        <f>K26-H26</f>
        <v/>
      </c>
      <c r="K26" s="12" t="n">
        <v>381</v>
      </c>
      <c r="L26" s="13">
        <f>K26/$D$26</f>
        <v/>
      </c>
      <c r="M26" s="8" t="inlineStr">
        <is>
          <t>Latest sales - Block A: 112 units, Block B: 142 units, Block C: 59 units, Block D: 68 units</t>
        </is>
      </c>
    </row>
    <row r="27">
      <c r="A27" s="7" t="n">
        <v>23</v>
      </c>
      <c r="B27" s="8" t="inlineStr">
        <is>
          <t>Almãs Suites @ Iskandar Puteri</t>
        </is>
      </c>
      <c r="C27" s="9" t="n">
        <v>41633</v>
      </c>
      <c r="D27" s="10" t="n">
        <v>546</v>
      </c>
      <c r="E27" s="7" t="inlineStr">
        <is>
          <t>10555-12</t>
        </is>
      </c>
      <c r="F27" s="8" t="inlineStr">
        <is>
          <t>UEM LAND BERHAD</t>
        </is>
      </c>
      <c r="G27" s="10" t="n"/>
      <c r="H27" s="10" t="n">
        <v>476</v>
      </c>
      <c r="I27" s="11">
        <f>H27/$D$27</f>
        <v/>
      </c>
      <c r="J27" s="12">
        <f>K27-H27</f>
        <v/>
      </c>
      <c r="K27" s="12" t="n">
        <v>476</v>
      </c>
      <c r="L27" s="13">
        <f>K27/$D$27</f>
        <v/>
      </c>
      <c r="M27" s="8" t="inlineStr">
        <is>
          <t>Latest sales - Block C: 476 units</t>
        </is>
      </c>
    </row>
    <row r="28">
      <c r="A28" s="7" t="n">
        <v>24</v>
      </c>
      <c r="B28" s="8" t="inlineStr">
        <is>
          <t>Radia Residences</t>
        </is>
      </c>
      <c r="C28" s="9" t="n">
        <v>41684</v>
      </c>
      <c r="D28" s="10" t="n">
        <v>640</v>
      </c>
      <c r="E28" s="7" t="inlineStr">
        <is>
          <t>13373-1</t>
        </is>
      </c>
      <c r="F28" s="8" t="inlineStr">
        <is>
          <t>SIME DARBY PROPERTY SUNRISE DEVELOPMENT SDN. BHD. (JV)</t>
        </is>
      </c>
      <c r="G28" s="10" t="n"/>
      <c r="H28" s="10" t="n">
        <v>525</v>
      </c>
      <c r="I28" s="11">
        <f>H28/$D$28</f>
        <v/>
      </c>
      <c r="J28" s="12">
        <f>K28-H28</f>
        <v/>
      </c>
      <c r="K28" s="12" t="n">
        <v>525</v>
      </c>
      <c r="L28" s="13">
        <f>K28/$D$28</f>
        <v/>
      </c>
      <c r="M28" s="8" t="inlineStr">
        <is>
          <t>Latest sales - Block B: 79 units, Block C: 141 units, Block D: 127 units, Block E: 131 units, Block F: 47 units</t>
        </is>
      </c>
    </row>
    <row r="29">
      <c r="A29" s="7" t="n">
        <v>25</v>
      </c>
      <c r="B29" s="8" t="inlineStr">
        <is>
          <t>Intrika 1</t>
        </is>
      </c>
      <c r="C29" s="9" t="n">
        <v>45163</v>
      </c>
      <c r="D29" s="10" t="n">
        <v>124</v>
      </c>
      <c r="E29" s="7" t="inlineStr">
        <is>
          <t>11186-16</t>
        </is>
      </c>
      <c r="F29" s="8" t="inlineStr">
        <is>
          <t>SYMPHONY HILLS SDN. BHD.</t>
        </is>
      </c>
      <c r="G29" s="10" t="n"/>
      <c r="H29" s="10" t="n">
        <v>122</v>
      </c>
      <c r="I29" s="11">
        <f>H29/$D$29</f>
        <v/>
      </c>
      <c r="J29" s="12">
        <f>K29-H29</f>
        <v/>
      </c>
      <c r="K29" s="12" t="n">
        <v>122</v>
      </c>
      <c r="L29" s="13">
        <f>K29/$D$29</f>
        <v/>
      </c>
      <c r="M29" s="8" t="inlineStr"/>
    </row>
    <row r="30">
      <c r="A30" s="7" t="n">
        <v>26</v>
      </c>
      <c r="B30" s="8" t="inlineStr">
        <is>
          <t>Intrika 2</t>
        </is>
      </c>
      <c r="C30" s="9" t="n">
        <v>45512</v>
      </c>
      <c r="D30" s="10" t="n">
        <v>114</v>
      </c>
      <c r="E30" s="7" t="inlineStr">
        <is>
          <t>11186-17</t>
        </is>
      </c>
      <c r="F30" s="8" t="inlineStr">
        <is>
          <t>SYMPHONY HILLS SDN. BHD.</t>
        </is>
      </c>
      <c r="G30" s="10" t="n"/>
      <c r="H30" s="10" t="n">
        <v>94</v>
      </c>
      <c r="I30" s="11">
        <f>H30/$D$30</f>
        <v/>
      </c>
      <c r="J30" s="12">
        <f>K30-H30</f>
        <v/>
      </c>
      <c r="K30" s="12" t="n">
        <v>94</v>
      </c>
      <c r="L30" s="13">
        <f>K30/$D$30</f>
        <v/>
      </c>
      <c r="M30" s="8" t="inlineStr"/>
    </row>
  </sheetData>
  <mergeCells count="2">
    <mergeCell ref="J3:L3"/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2026-09-18T08:51:51Z</dcterms:created>
  <dcterms:modified xsi:type="dcterms:W3CDTF">2026-09-18T08:51:51Z</dcterms:modified>
</cp:coreProperties>
</file>