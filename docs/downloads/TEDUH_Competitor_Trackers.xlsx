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rmani" sheetId="1" state="visible" r:id="rId1"/>
    <sheet name="Avaland" sheetId="2" state="visible" r:id="rId2"/>
    <sheet name="Binastra" sheetId="3" state="visible" r:id="rId3"/>
    <sheet name="Chin Hin" sheetId="4" state="visible" r:id="rId4"/>
    <sheet name="Exsim" sheetId="5" state="visible" r:id="rId5"/>
    <sheet name="Mah Sing" sheetId="6" state="visible" r:id="rId6"/>
    <sheet name="Majestic Gen" sheetId="7" state="visible" r:id="rId7"/>
    <sheet name="Malton" sheetId="8" state="visible" r:id="rId8"/>
    <sheet name="Maxim" sheetId="9" state="visible" r:id="rId9"/>
    <sheet name="Platinum Victory" sheetId="10" state="visible" r:id="rId10"/>
    <sheet name="Skyworld" sheetId="11" state="visible" r:id="rId11"/>
    <sheet name="Trinity Group" sheetId="12" state="visible" r:id="rId12"/>
    <sheet name="TS Law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color rgb="00C00000"/>
      <sz val="9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4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165" fontId="5" fillId="0" borderId="1" applyAlignment="1" pivotButton="0" quotePrefix="0" xfId="0">
      <alignment horizontal="center" vertical="center" wrapText="1"/>
    </xf>
    <xf numFmtId="3" fontId="5" fillId="0" borderId="1" applyAlignment="1" pivotButton="0" quotePrefix="0" xfId="0">
      <alignment horizontal="center" vertical="center" wrapText="1"/>
    </xf>
    <xf numFmtId="3" fontId="5" fillId="3" borderId="1" applyAlignment="1" pivotButton="0" quotePrefix="0" xfId="0">
      <alignment horizontal="center" vertical="center" wrapText="1"/>
    </xf>
    <xf numFmtId="166" fontId="5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01/09/2026</t>
        </is>
      </c>
    </row>
    <row r="3">
      <c r="A3" s="3" t="inlineStr">
        <is>
          <t>WEEKLY TEDUH SALES REPORT (ARMANI)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1" t="n"/>
      <c r="H5" s="11" t="n">
        <v>58</v>
      </c>
      <c r="I5" s="12">
        <f>H5/$D$5</f>
        <v/>
      </c>
      <c r="J5" s="8" t="inlineStr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1" t="n"/>
      <c r="H6" s="11" t="n">
        <v>69</v>
      </c>
      <c r="I6" s="12">
        <f>H6/$D$6</f>
        <v/>
      </c>
      <c r="J6" s="8" t="inlineStr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1" t="n"/>
      <c r="H7" s="11" t="n">
        <v>2</v>
      </c>
      <c r="I7" s="12">
        <f>H7/$D$7</f>
        <v/>
      </c>
      <c r="J7" s="8" t="inlineStr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30273-1,30273-2</t>
        </is>
      </c>
      <c r="F8" s="8" t="inlineStr"/>
      <c r="G8" s="11" t="n"/>
      <c r="H8" s="11" t="n">
        <v>111</v>
      </c>
      <c r="I8" s="12">
        <f>H8/$D$8</f>
        <v/>
      </c>
      <c r="J8" s="8" t="inlineStr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1" t="n"/>
      <c r="H9" s="11" t="n">
        <v>998</v>
      </c>
      <c r="I9" s="12">
        <f>H9/$D$9</f>
        <v/>
      </c>
      <c r="J9" s="8" t="inlineStr"/>
    </row>
    <row r="10">
      <c r="A10" s="7" t="n">
        <v>6</v>
      </c>
      <c r="B10" s="8" t="inlineStr">
        <is>
          <t>Armani Residence Kepong</t>
        </is>
      </c>
      <c r="C10" s="9" t="n">
        <v>45436</v>
      </c>
      <c r="D10" s="10" t="n">
        <v>306</v>
      </c>
      <c r="E10" s="7" t="inlineStr">
        <is>
          <t>6820-8</t>
        </is>
      </c>
      <c r="F10" s="8" t="inlineStr">
        <is>
          <t>MAGNA PARK SDN. BHD.</t>
        </is>
      </c>
      <c r="G10" s="11" t="n"/>
      <c r="H10" s="11" t="n">
        <v>277</v>
      </c>
      <c r="I10" s="12">
        <f>H10/$D$10</f>
        <v/>
      </c>
      <c r="J10" s="8" t="inlineStr"/>
    </row>
    <row r="11">
      <c r="A11" s="7" t="n">
        <v>7</v>
      </c>
      <c r="B11" s="8" t="inlineStr">
        <is>
          <t>Armani Residence Setia Alam</t>
        </is>
      </c>
      <c r="C11" s="9" t="n">
        <v>45561</v>
      </c>
      <c r="D11" s="10" t="n">
        <v>648</v>
      </c>
      <c r="E11" s="7" t="inlineStr">
        <is>
          <t>30727-1</t>
        </is>
      </c>
      <c r="F11" s="8" t="inlineStr"/>
      <c r="G11" s="11" t="n"/>
      <c r="H11" s="11" t="n">
        <v>573</v>
      </c>
      <c r="I11" s="12">
        <f>H11/$D$11</f>
        <v/>
      </c>
      <c r="J11" s="8" t="inlineStr"/>
    </row>
    <row r="12">
      <c r="A12" s="7" t="n">
        <v>8</v>
      </c>
      <c r="B12" s="8" t="inlineStr">
        <is>
          <t>Armani Residence Setia Alam 2</t>
        </is>
      </c>
      <c r="C12" s="9" t="n">
        <v>46162</v>
      </c>
      <c r="D12" s="10" t="n">
        <v>998</v>
      </c>
      <c r="E12" s="7" t="inlineStr">
        <is>
          <t>30727-2</t>
        </is>
      </c>
      <c r="F12" s="8" t="inlineStr"/>
      <c r="G12" s="11" t="n"/>
      <c r="H12" s="11" t="n">
        <v>281</v>
      </c>
      <c r="I12" s="12">
        <f>H12/$D$12</f>
        <v/>
      </c>
      <c r="J12" s="8" t="inlineStr"/>
    </row>
    <row r="13">
      <c r="A13" s="7" t="n">
        <v>9</v>
      </c>
      <c r="B13" s="8" t="inlineStr">
        <is>
          <t>Armani Residence Shah Alam</t>
        </is>
      </c>
      <c r="C13" s="9" t="n">
        <v>45303</v>
      </c>
      <c r="D13" s="10" t="n">
        <v>338</v>
      </c>
      <c r="E13" s="7" t="inlineStr">
        <is>
          <t>30339-1</t>
        </is>
      </c>
      <c r="F13" s="8" t="inlineStr">
        <is>
          <t>ARMANI ALLIANCE SDN. BHD.</t>
        </is>
      </c>
      <c r="G13" s="11" t="n"/>
      <c r="H13" s="11" t="n">
        <v>331</v>
      </c>
      <c r="I13" s="12">
        <f>H13/$D$13</f>
        <v/>
      </c>
      <c r="J13" s="8" t="inlineStr"/>
    </row>
    <row r="14">
      <c r="A14" s="7" t="n">
        <v>10</v>
      </c>
      <c r="B14" s="8" t="inlineStr">
        <is>
          <t>Armani Signature Residence</t>
        </is>
      </c>
      <c r="C14" s="9" t="n">
        <v>45252</v>
      </c>
      <c r="D14" s="10" t="n">
        <v>315</v>
      </c>
      <c r="E14" s="7" t="inlineStr">
        <is>
          <t>13975-5</t>
        </is>
      </c>
      <c r="F14" s="8" t="inlineStr">
        <is>
          <t>GOLDEN ARMANI SDN. BHD.</t>
        </is>
      </c>
      <c r="G14" s="11" t="n"/>
      <c r="H14" s="11" t="n">
        <v>263</v>
      </c>
      <c r="I14" s="12">
        <f>H14/$D$14</f>
        <v/>
      </c>
      <c r="J14" s="8" t="inlineStr"/>
    </row>
    <row r="15">
      <c r="A15" s="7" t="n">
        <v>11</v>
      </c>
      <c r="B15" s="8" t="inlineStr">
        <is>
          <t>Lofthill Residence</t>
        </is>
      </c>
      <c r="C15" s="9" t="n">
        <v>45506</v>
      </c>
      <c r="D15" s="10" t="n">
        <v>653</v>
      </c>
      <c r="E15" s="7" t="inlineStr">
        <is>
          <t>30641-1</t>
        </is>
      </c>
      <c r="F15" s="8" t="inlineStr">
        <is>
          <t>LOFTHILL DEVELOPMENT SDN. BHD.</t>
        </is>
      </c>
      <c r="G15" s="11" t="n"/>
      <c r="H15" s="11" t="n">
        <v>647</v>
      </c>
      <c r="I15" s="12">
        <f>H15/$D$15</f>
        <v/>
      </c>
      <c r="J15" s="8" t="inlineStr"/>
    </row>
    <row r="16">
      <c r="A16" s="7" t="n">
        <v>12</v>
      </c>
      <c r="B16" s="8" t="inlineStr">
        <is>
          <t>Residensi Armani Kg Baru 1</t>
        </is>
      </c>
      <c r="C16" s="9" t="n">
        <v>45632</v>
      </c>
      <c r="D16" s="10" t="n">
        <v>387</v>
      </c>
      <c r="E16" s="7" t="inlineStr">
        <is>
          <t>13975-6</t>
        </is>
      </c>
      <c r="F16" s="8" t="inlineStr">
        <is>
          <t>GOLDEN ARMANI SDN. BHD.</t>
        </is>
      </c>
      <c r="G16" s="11" t="n"/>
      <c r="H16" s="11" t="n">
        <v>384</v>
      </c>
      <c r="I16" s="12">
        <f>H16/$D$16</f>
        <v/>
      </c>
      <c r="J16" s="8" t="inlineStr"/>
    </row>
    <row r="17">
      <c r="A17" s="7" t="n">
        <v>13</v>
      </c>
      <c r="B17" s="8" t="inlineStr">
        <is>
          <t>Residensi Armani Putra</t>
        </is>
      </c>
      <c r="C17" s="9" t="n">
        <v>46183</v>
      </c>
      <c r="D17" s="10" t="n">
        <v>984</v>
      </c>
      <c r="E17" s="7" t="inlineStr">
        <is>
          <t>30799-1</t>
        </is>
      </c>
      <c r="F17" s="8" t="inlineStr">
        <is>
          <t>GOLDEN CHAIN DEVELOPMENT SDN. BHD.</t>
        </is>
      </c>
      <c r="G17" s="11" t="n"/>
      <c r="H17" s="11" t="n">
        <v>28</v>
      </c>
      <c r="I17" s="12">
        <f>H17/$D$17</f>
        <v/>
      </c>
      <c r="J17" s="8" t="inlineStr"/>
    </row>
    <row r="18">
      <c r="A18" s="7" t="n">
        <v>14</v>
      </c>
      <c r="B18" s="8" t="inlineStr">
        <is>
          <t>Taman Bukit Tualang 2</t>
        </is>
      </c>
      <c r="C18" s="9" t="n">
        <v>46238</v>
      </c>
      <c r="D18" s="10" t="n">
        <v>30</v>
      </c>
      <c r="E18" s="7" t="inlineStr">
        <is>
          <t>30393-1</t>
        </is>
      </c>
      <c r="F18" s="8" t="inlineStr">
        <is>
          <t>GOLDEN ARMANI DEVELOPMENT SDN. BHD.</t>
        </is>
      </c>
      <c r="G18" s="11" t="n"/>
      <c r="H18" s="11" t="n">
        <v>0</v>
      </c>
      <c r="I18" s="12">
        <f>H18/$D$18</f>
        <v/>
      </c>
      <c r="J18" s="8" t="inlineStr"/>
    </row>
    <row r="19">
      <c r="A19" s="7" t="n">
        <v>15</v>
      </c>
      <c r="B19" s="8" t="inlineStr">
        <is>
          <t>Armani Prestige</t>
        </is>
      </c>
      <c r="C19" s="9" t="n">
        <v>45862</v>
      </c>
      <c r="D19" s="10" t="n">
        <v>280</v>
      </c>
      <c r="E19" s="7" t="inlineStr">
        <is>
          <t>30135-2</t>
        </is>
      </c>
      <c r="F19" s="8" t="inlineStr"/>
      <c r="G19" s="11" t="n"/>
      <c r="H19" s="11" t="n">
        <v>94</v>
      </c>
      <c r="I19" s="12">
        <f>H19/$D$19</f>
        <v/>
      </c>
      <c r="J19" s="8" t="inlineStr"/>
    </row>
    <row r="20">
      <c r="A20" s="7" t="n">
        <v>16</v>
      </c>
      <c r="B20" s="8" t="inlineStr">
        <is>
          <t>Taman PMINT Tebing Tembah 2</t>
        </is>
      </c>
      <c r="C20" s="9" t="n">
        <v>46263</v>
      </c>
      <c r="D20" s="10" t="n">
        <v>116</v>
      </c>
      <c r="E20" s="7" t="inlineStr">
        <is>
          <t>13970-3</t>
        </is>
      </c>
      <c r="F20" s="8" t="inlineStr"/>
      <c r="G20" s="11" t="n"/>
      <c r="H20" s="11" t="n">
        <v>81</v>
      </c>
      <c r="I20" s="12">
        <f>H20/$D$20</f>
        <v/>
      </c>
      <c r="J20" s="8" t="inlineStr"/>
    </row>
  </sheetData>
  <mergeCells count="1">
    <mergeCell ref="G3:I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01/09/2026</t>
        </is>
      </c>
    </row>
    <row r="3">
      <c r="A3" s="3" t="inlineStr">
        <is>
          <t>WEEKLY TEDUH SALES REPORT (AVALAND)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1" t="n"/>
      <c r="H5" s="11" t="n">
        <v>125</v>
      </c>
      <c r="I5" s="12">
        <f>H5/$D$5</f>
        <v/>
      </c>
      <c r="J5" s="8" t="inlineStr"/>
    </row>
    <row r="6">
      <c r="A6" s="7" t="n">
        <v>2</v>
      </c>
      <c r="B6" s="8" t="inlineStr">
        <is>
          <t>Alora Residences @ Avenue25</t>
        </is>
      </c>
      <c r="C6" s="9" t="n">
        <v>45744</v>
      </c>
      <c r="D6" s="10" t="n">
        <v>770</v>
      </c>
      <c r="E6" s="7" t="inlineStr">
        <is>
          <t>30162-1,30162-2</t>
        </is>
      </c>
      <c r="F6" s="8" t="inlineStr"/>
      <c r="G6" s="11" t="n"/>
      <c r="H6" s="11" t="n">
        <v>424</v>
      </c>
      <c r="I6" s="12">
        <f>H6/$D$6</f>
        <v/>
      </c>
      <c r="J6" s="8" t="inlineStr"/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1" t="n"/>
      <c r="H7" s="11" t="n">
        <v>456</v>
      </c>
      <c r="I7" s="12">
        <f>H7/$D$7</f>
        <v/>
      </c>
      <c r="J7" s="8" t="inlineStr"/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9490-3,9490-4</t>
        </is>
      </c>
      <c r="F8" s="8" t="inlineStr">
        <is>
          <t>USJ ONE AVENUE SDN. BHD.</t>
        </is>
      </c>
      <c r="G8" s="11" t="n"/>
      <c r="H8" s="11" t="n">
        <v>274</v>
      </c>
      <c r="I8" s="12">
        <f>H8/$D$8</f>
        <v/>
      </c>
      <c r="J8" s="8" t="inlineStr"/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30240-3,30240-4</t>
        </is>
      </c>
      <c r="F9" s="8" t="inlineStr">
        <is>
          <t>ECOLAKE RESIDENCE SDN. BHD.</t>
        </is>
      </c>
      <c r="G9" s="11" t="n"/>
      <c r="H9" s="11" t="n">
        <v>180</v>
      </c>
      <c r="I9" s="12">
        <f>H9/$D$9</f>
        <v/>
      </c>
      <c r="J9" s="8" t="inlineStr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1" t="n"/>
      <c r="H10" s="11" t="n">
        <v>232</v>
      </c>
      <c r="I10" s="12">
        <f>H10/$D$10</f>
        <v/>
      </c>
      <c r="J10" s="8" t="inlineStr"/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/>
      <c r="F11" s="8" t="inlineStr"/>
      <c r="G11" s="11" t="n"/>
      <c r="H11" s="11" t="n"/>
      <c r="I11" s="12" t="n"/>
      <c r="J11" s="8" t="inlineStr">
        <is>
          <t>Not launched yet.</t>
        </is>
      </c>
    </row>
    <row r="12">
      <c r="A12" s="7" t="n">
        <v>8</v>
      </c>
      <c r="B12" s="8" t="inlineStr">
        <is>
          <t>Aetas Taman Desa</t>
        </is>
      </c>
      <c r="C12" s="9" t="n">
        <v>45638</v>
      </c>
      <c r="D12" s="10" t="n">
        <v>226</v>
      </c>
      <c r="E12" s="7" t="inlineStr">
        <is>
          <t>20017-1</t>
        </is>
      </c>
      <c r="F12" s="8" t="inlineStr"/>
      <c r="G12" s="11" t="n"/>
      <c r="H12" s="11" t="n">
        <v>221</v>
      </c>
      <c r="I12" s="12">
        <f>H12/$D$12</f>
        <v/>
      </c>
      <c r="J12" s="8" t="inlineStr"/>
    </row>
  </sheetData>
  <mergeCells count="1">
    <mergeCell ref="G3:I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01/09/2026</t>
        </is>
      </c>
    </row>
    <row r="3">
      <c r="A3" s="3" t="inlineStr">
        <is>
          <t>WEEKLY TEDUH SALES REPORT (BINASTRA)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1" t="n"/>
      <c r="H5" s="11" t="n">
        <v>271</v>
      </c>
      <c r="I5" s="12">
        <f>H5/$D$5</f>
        <v/>
      </c>
      <c r="J5" s="8" t="inlineStr">
        <is>
          <t>Latest sales - Block A: 169 units, Block B: 91 units</t>
        </is>
      </c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/>
      <c r="F6" s="8" t="inlineStr">
        <is>
          <t>BINASTRA SYNERGY SDN. BHD.</t>
        </is>
      </c>
      <c r="G6" s="11" t="n"/>
      <c r="H6" s="11" t="n"/>
      <c r="I6" s="12" t="n"/>
      <c r="J6" s="8" t="inlineStr">
        <is>
          <t>Not launched yet.</t>
        </is>
      </c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/>
      <c r="F7" s="8" t="inlineStr"/>
      <c r="G7" s="11" t="n"/>
      <c r="H7" s="11" t="n"/>
      <c r="I7" s="12" t="n"/>
      <c r="J7" s="8" t="inlineStr">
        <is>
          <t>Not on TEDUH.</t>
        </is>
      </c>
    </row>
  </sheetData>
  <mergeCells count="1">
    <mergeCell ref="G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01/09/2026</t>
        </is>
      </c>
    </row>
    <row r="3">
      <c r="A3" s="3" t="inlineStr">
        <is>
          <t>WEEKLY TEDUH SALES REPORT (CHIN HIN)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1" t="n"/>
      <c r="H5" s="11" t="n">
        <v>726</v>
      </c>
      <c r="I5" s="12">
        <f>H5/$D$5</f>
        <v/>
      </c>
      <c r="J5" s="8" t="inlineStr">
        <is>
          <t>Latest sales - Block A: 439 units, Block B: 286 units</t>
        </is>
      </c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1" t="n"/>
      <c r="H6" s="11" t="n">
        <v>603</v>
      </c>
      <c r="I6" s="12">
        <f>H6/$D$6</f>
        <v/>
      </c>
      <c r="J6" s="8" t="inlineStr"/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1" t="n"/>
      <c r="H7" s="11" t="n">
        <v>809</v>
      </c>
      <c r="I7" s="12">
        <f>H7/$D$7</f>
        <v/>
      </c>
      <c r="J7" s="8" t="inlineStr"/>
    </row>
    <row r="8">
      <c r="A8" s="7" t="n">
        <v>4</v>
      </c>
      <c r="B8" s="8" t="inlineStr">
        <is>
          <t>Ayanna Resort Residences</t>
        </is>
      </c>
      <c r="C8" s="9" t="n">
        <v>46194</v>
      </c>
      <c r="D8" s="10" t="n">
        <v>824</v>
      </c>
      <c r="E8" s="7" t="inlineStr">
        <is>
          <t>30382-1,30382-2</t>
        </is>
      </c>
      <c r="F8" s="8" t="inlineStr">
        <is>
          <t>BKSP AUTOWORLD SDN. BHD.</t>
        </is>
      </c>
      <c r="G8" s="11" t="n"/>
      <c r="H8" s="11" t="n">
        <v>761</v>
      </c>
      <c r="I8" s="12">
        <f>H8/$D$8</f>
        <v/>
      </c>
      <c r="J8" s="8" t="inlineStr"/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1" t="n"/>
      <c r="H9" s="11" t="n">
        <v>482</v>
      </c>
      <c r="I9" s="12">
        <f>H9/$D$9</f>
        <v/>
      </c>
      <c r="J9" s="8" t="inlineStr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1" t="n"/>
      <c r="H10" s="11" t="n">
        <v>266</v>
      </c>
      <c r="I10" s="12">
        <f>H10/$D$10</f>
        <v/>
      </c>
      <c r="J10" s="8" t="inlineStr"/>
    </row>
    <row r="11">
      <c r="A11" s="7" t="n">
        <v>7</v>
      </c>
      <c r="B11" s="8" t="inlineStr">
        <is>
          <t>Quaver Residence</t>
        </is>
      </c>
      <c r="C11" s="9" t="n">
        <v>46258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1" t="n"/>
      <c r="H11" s="11" t="n">
        <v>678</v>
      </c>
      <c r="I11" s="12">
        <f>H11/$D$11</f>
        <v/>
      </c>
      <c r="J11" s="8" t="inlineStr"/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1" t="n"/>
      <c r="H12" s="11" t="n">
        <v>822</v>
      </c>
      <c r="I12" s="12">
        <f>H12/$D$12</f>
        <v/>
      </c>
      <c r="J12" s="8" t="inlineStr"/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30907-1,30907-2</t>
        </is>
      </c>
      <c r="F13" s="8" t="inlineStr"/>
      <c r="G13" s="11" t="n"/>
      <c r="H13" s="11" t="n">
        <v>221</v>
      </c>
      <c r="I13" s="12">
        <f>H13/$D$13</f>
        <v/>
      </c>
      <c r="J13" s="8" t="inlineStr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1" t="n"/>
      <c r="H14" s="11" t="n">
        <v>477</v>
      </c>
      <c r="I14" s="12">
        <f>H14/$D$14</f>
        <v/>
      </c>
      <c r="J14" s="8" t="inlineStr"/>
    </row>
  </sheetData>
  <mergeCells count="1">
    <mergeCell ref="G3:I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01/09/2026</t>
        </is>
      </c>
    </row>
    <row r="3">
      <c r="A3" s="3" t="inlineStr">
        <is>
          <t>WEEKLY TEDUH SALES REPORT (EXSIM)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1" t="n"/>
      <c r="H5" s="11" t="n">
        <v>268</v>
      </c>
      <c r="I5" s="12">
        <f>H5/$D$5</f>
        <v/>
      </c>
      <c r="J5" s="8" t="inlineStr"/>
    </row>
    <row r="6">
      <c r="A6" s="7" t="n">
        <v>2</v>
      </c>
      <c r="B6" s="8" t="inlineStr">
        <is>
          <t>D'Clover Residences</t>
        </is>
      </c>
      <c r="C6" s="9" t="n">
        <v>46042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1" t="n"/>
      <c r="H6" s="11" t="n">
        <v>593</v>
      </c>
      <c r="I6" s="12">
        <f>H6/$D$6</f>
        <v/>
      </c>
      <c r="J6" s="8" t="inlineStr"/>
    </row>
    <row r="7">
      <c r="A7" s="7" t="n">
        <v>3</v>
      </c>
      <c r="B7" s="8" t="inlineStr">
        <is>
          <t>D'Terra Residences</t>
        </is>
      </c>
      <c r="C7" s="9" t="n">
        <v>46042</v>
      </c>
      <c r="D7" s="10" t="n">
        <v>767</v>
      </c>
      <c r="E7" s="7" t="inlineStr">
        <is>
          <t>20011-2</t>
        </is>
      </c>
      <c r="F7" s="8" t="inlineStr">
        <is>
          <t>MIGHTYPROP  SDN. BHD.</t>
        </is>
      </c>
      <c r="G7" s="11" t="n"/>
      <c r="H7" s="11" t="n">
        <v>767</v>
      </c>
      <c r="I7" s="12">
        <f>H7/$D$7</f>
        <v/>
      </c>
      <c r="J7" s="8" t="inlineStr"/>
    </row>
    <row r="8">
      <c r="A8" s="7" t="n">
        <v>4</v>
      </c>
      <c r="B8" s="8" t="inlineStr">
        <is>
          <t>D'Tessera Residences</t>
        </is>
      </c>
      <c r="C8" s="9" t="n">
        <v>46129</v>
      </c>
      <c r="D8" s="10" t="n">
        <v>671</v>
      </c>
      <c r="E8" s="7" t="inlineStr">
        <is>
          <t>20011-4</t>
        </is>
      </c>
      <c r="F8" s="8" t="inlineStr">
        <is>
          <t>MIGHTYPROP  SDN. BHD.</t>
        </is>
      </c>
      <c r="G8" s="11" t="n"/>
      <c r="H8" s="11" t="n">
        <v>664</v>
      </c>
      <c r="I8" s="12">
        <f>H8/$D$8</f>
        <v/>
      </c>
      <c r="J8" s="8" t="inlineStr"/>
    </row>
    <row r="9">
      <c r="A9" s="7" t="n">
        <v>5</v>
      </c>
      <c r="B9" s="8" t="inlineStr">
        <is>
          <t>Hanaz Suites</t>
        </is>
      </c>
      <c r="C9" s="9" t="n">
        <v>45659</v>
      </c>
      <c r="D9" s="10" t="n">
        <v>98</v>
      </c>
      <c r="E9" s="7" t="inlineStr">
        <is>
          <t>13666-2</t>
        </is>
      </c>
      <c r="F9" s="8" t="inlineStr">
        <is>
          <t>SUNRISE CHARM SDN. BHD.</t>
        </is>
      </c>
      <c r="G9" s="11" t="n"/>
      <c r="H9" s="11" t="n">
        <v>98</v>
      </c>
      <c r="I9" s="12">
        <f>H9/$D$9</f>
        <v/>
      </c>
      <c r="J9" s="8" t="inlineStr"/>
    </row>
    <row r="10">
      <c r="A10" s="7" t="n">
        <v>6</v>
      </c>
      <c r="B10" s="8" t="inlineStr">
        <is>
          <t>Hugoz Suites</t>
        </is>
      </c>
      <c r="C10" s="9" t="n">
        <v>46280</v>
      </c>
      <c r="D10" s="10" t="n">
        <v>320</v>
      </c>
      <c r="E10" s="7" t="inlineStr">
        <is>
          <t>30370-1</t>
        </is>
      </c>
      <c r="F10" s="8" t="inlineStr">
        <is>
          <t>ARMADA ISTIMEWA SDN. BHD.</t>
        </is>
      </c>
      <c r="G10" s="11" t="n"/>
      <c r="H10" s="11" t="n">
        <v>319</v>
      </c>
      <c r="I10" s="12">
        <f>H10/$D$10</f>
        <v/>
      </c>
      <c r="J10" s="8" t="inlineStr"/>
    </row>
    <row r="11">
      <c r="A11" s="7" t="n">
        <v>7</v>
      </c>
      <c r="B11" s="8" t="inlineStr">
        <is>
          <t>Kyliez Suites</t>
        </is>
      </c>
      <c r="C11" s="9" t="n">
        <v>45511</v>
      </c>
      <c r="D11" s="10" t="n">
        <v>126</v>
      </c>
      <c r="E11" s="7" t="inlineStr">
        <is>
          <t>30789-1</t>
        </is>
      </c>
      <c r="F11" s="8" t="inlineStr">
        <is>
          <t>EXSIM AVENUE SDN. BHD.</t>
        </is>
      </c>
      <c r="G11" s="11" t="n"/>
      <c r="H11" s="11" t="n">
        <v>126</v>
      </c>
      <c r="I11" s="12">
        <f>H11/$D$11</f>
        <v/>
      </c>
      <c r="J11" s="8" t="inlineStr"/>
    </row>
    <row r="12">
      <c r="A12" s="7" t="n">
        <v>8</v>
      </c>
      <c r="B12" s="8" t="inlineStr">
        <is>
          <t>Noordinz Suites</t>
        </is>
      </c>
      <c r="C12" s="9" t="n">
        <v>45251</v>
      </c>
      <c r="D12" s="10" t="n">
        <v>603</v>
      </c>
      <c r="E12" s="7" t="inlineStr">
        <is>
          <t>30571-1</t>
        </is>
      </c>
      <c r="F12" s="8" t="inlineStr">
        <is>
          <t>EXSIM NOORDIN SDN. BHD.</t>
        </is>
      </c>
      <c r="G12" s="11" t="n"/>
      <c r="H12" s="11" t="n">
        <v>602</v>
      </c>
      <c r="I12" s="12">
        <f>H12/$D$12</f>
        <v/>
      </c>
      <c r="J12" s="8" t="inlineStr"/>
    </row>
    <row r="13">
      <c r="A13" s="7" t="n">
        <v>9</v>
      </c>
      <c r="B13" s="8" t="inlineStr">
        <is>
          <t>Qubaz Suites</t>
        </is>
      </c>
      <c r="C13" s="9" t="n">
        <v>45716</v>
      </c>
      <c r="D13" s="10" t="n">
        <v>759</v>
      </c>
      <c r="E13" s="7" t="inlineStr">
        <is>
          <t>30914-1</t>
        </is>
      </c>
      <c r="F13" s="8" t="inlineStr">
        <is>
          <t>EXSIM KG TIONG (KT)  SDN. BHD.</t>
        </is>
      </c>
      <c r="G13" s="11" t="n"/>
      <c r="H13" s="11" t="n">
        <v>623</v>
      </c>
      <c r="I13" s="12">
        <f>H13/$D$13</f>
        <v/>
      </c>
      <c r="J13" s="8" t="inlineStr"/>
    </row>
    <row r="14">
      <c r="A14" s="7" t="n">
        <v>10</v>
      </c>
      <c r="B14" s="8" t="inlineStr">
        <is>
          <t>Sea Crestz</t>
        </is>
      </c>
      <c r="C14" s="9" t="n">
        <v>45736</v>
      </c>
      <c r="D14" s="10" t="n">
        <v>456</v>
      </c>
      <c r="E14" s="7" t="inlineStr">
        <is>
          <t>30830-1</t>
        </is>
      </c>
      <c r="F14" s="8" t="inlineStr">
        <is>
          <t>KUANTAN WATERFRONT RESORT CITY SDN. BHD.</t>
        </is>
      </c>
      <c r="G14" s="11" t="n"/>
      <c r="H14" s="11" t="n">
        <v>317</v>
      </c>
      <c r="I14" s="12">
        <f>H14/$D$14</f>
        <v/>
      </c>
      <c r="J14" s="8" t="inlineStr"/>
    </row>
    <row r="15">
      <c r="A15" s="7" t="n">
        <v>11</v>
      </c>
      <c r="B15" s="8" t="inlineStr">
        <is>
          <t>The Aldenz</t>
        </is>
      </c>
      <c r="C15" s="9" t="n">
        <v>45839</v>
      </c>
      <c r="D15" s="10" t="n">
        <v>662</v>
      </c>
      <c r="E15" s="7" t="inlineStr">
        <is>
          <t>20011-5</t>
        </is>
      </c>
      <c r="F15" s="8" t="inlineStr">
        <is>
          <t>MIGHTYPROP  SDN. BHD.</t>
        </is>
      </c>
      <c r="G15" s="11" t="n"/>
      <c r="H15" s="11" t="n">
        <v>167</v>
      </c>
      <c r="I15" s="12">
        <f>H15/$D$15</f>
        <v/>
      </c>
      <c r="J15" s="8" t="inlineStr"/>
    </row>
    <row r="16">
      <c r="A16" s="7" t="n">
        <v>12</v>
      </c>
      <c r="B16" s="8" t="inlineStr">
        <is>
          <t>The Asteriaz</t>
        </is>
      </c>
      <c r="C16" s="9" t="n">
        <v>45856</v>
      </c>
      <c r="D16" s="10" t="n">
        <v>848</v>
      </c>
      <c r="E16" s="7" t="inlineStr">
        <is>
          <t>31007-1</t>
        </is>
      </c>
      <c r="F16" s="8" t="inlineStr">
        <is>
          <t>EXSIM KEBUN TEH SDN. BHD.</t>
        </is>
      </c>
      <c r="G16" s="11" t="n"/>
      <c r="H16" s="11" t="n">
        <v>845</v>
      </c>
      <c r="I16" s="12">
        <f>H16/$D$16</f>
        <v/>
      </c>
      <c r="J16" s="8" t="inlineStr">
        <is>
          <t>-</t>
        </is>
      </c>
    </row>
    <row r="17">
      <c r="A17" s="7" t="n">
        <v>13</v>
      </c>
      <c r="B17" s="8" t="inlineStr">
        <is>
          <t>The Fiddlewoodz</t>
        </is>
      </c>
      <c r="C17" s="9" t="n">
        <v>46108</v>
      </c>
      <c r="D17" s="10" t="n">
        <v>679</v>
      </c>
      <c r="E17" s="7" t="inlineStr">
        <is>
          <t>20084-1</t>
        </is>
      </c>
      <c r="F17" s="8" t="inlineStr">
        <is>
          <t>IVORY INTERPOINT SDN. BHD.</t>
        </is>
      </c>
      <c r="G17" s="11" t="n"/>
      <c r="H17" s="11" t="n">
        <v>339</v>
      </c>
      <c r="I17" s="12">
        <f>H17/$D$17</f>
        <v/>
      </c>
      <c r="J17" s="8" t="inlineStr"/>
    </row>
    <row r="18">
      <c r="A18" s="7" t="n">
        <v>14</v>
      </c>
      <c r="B18" s="8" t="inlineStr">
        <is>
          <t>The Kingswoodz</t>
        </is>
      </c>
      <c r="C18" s="9" t="n">
        <v>45516</v>
      </c>
      <c r="D18" s="10" t="n">
        <v>1558</v>
      </c>
      <c r="E18" s="7" t="inlineStr">
        <is>
          <t>30741-1</t>
        </is>
      </c>
      <c r="F18" s="8" t="inlineStr">
        <is>
          <t>EXSIM JALIL LINK   SDN. BHD.</t>
        </is>
      </c>
      <c r="G18" s="11" t="n"/>
      <c r="H18" s="11" t="n">
        <v>1552</v>
      </c>
      <c r="I18" s="12">
        <f>H18/$D$18</f>
        <v/>
      </c>
      <c r="J18" s="8" t="inlineStr"/>
    </row>
    <row r="19">
      <c r="A19" s="7" t="n">
        <v>15</v>
      </c>
      <c r="B19" s="8" t="inlineStr">
        <is>
          <t>The Lighthauz</t>
        </is>
      </c>
      <c r="C19" s="9" t="n">
        <v>45952</v>
      </c>
      <c r="D19" s="10" t="n">
        <v>671</v>
      </c>
      <c r="E19" s="7" t="inlineStr">
        <is>
          <t>31088-1</t>
        </is>
      </c>
      <c r="F19" s="8" t="inlineStr">
        <is>
          <t>EXSIM WATERFRONT SDN. BHD.</t>
        </is>
      </c>
      <c r="G19" s="11" t="n"/>
      <c r="H19" s="11" t="n">
        <v>550</v>
      </c>
      <c r="I19" s="12">
        <f>H19/$D$19</f>
        <v/>
      </c>
      <c r="J19" s="8" t="inlineStr"/>
    </row>
    <row r="20">
      <c r="A20" s="7" t="n">
        <v>16</v>
      </c>
      <c r="B20" s="8" t="inlineStr">
        <is>
          <t>The Queenswoodz</t>
        </is>
      </c>
      <c r="C20" s="9" t="n">
        <v>46099</v>
      </c>
      <c r="D20" s="10" t="n">
        <v>1004</v>
      </c>
      <c r="E20" s="7" t="inlineStr">
        <is>
          <t>30741-2</t>
        </is>
      </c>
      <c r="F20" s="8" t="inlineStr">
        <is>
          <t>EXSIM JALIL LINK   SDN. BHD.</t>
        </is>
      </c>
      <c r="G20" s="11" t="n"/>
      <c r="H20" s="11" t="n">
        <v>435</v>
      </c>
      <c r="I20" s="12">
        <f>H20/$D$20</f>
        <v/>
      </c>
      <c r="J20" s="8" t="inlineStr"/>
    </row>
    <row r="21">
      <c r="A21" s="7" t="n">
        <v>17</v>
      </c>
      <c r="B21" s="8" t="inlineStr">
        <is>
          <t>The Vividz</t>
        </is>
      </c>
      <c r="C21" s="9" t="n">
        <v>45806</v>
      </c>
      <c r="D21" s="10" t="n">
        <v>1138</v>
      </c>
      <c r="E21" s="7" t="inlineStr">
        <is>
          <t>30357-2</t>
        </is>
      </c>
      <c r="F21" s="8" t="inlineStr">
        <is>
          <t>EXSIM BUKIT JALIL CITY SDN. BHD.</t>
        </is>
      </c>
      <c r="G21" s="11" t="n"/>
      <c r="H21" s="11" t="n">
        <v>656</v>
      </c>
      <c r="I21" s="12">
        <f>H21/$D$21</f>
        <v/>
      </c>
      <c r="J21" s="8" t="inlineStr"/>
    </row>
    <row r="22">
      <c r="A22" s="7" t="n">
        <v>18</v>
      </c>
      <c r="B22" s="8" t="inlineStr">
        <is>
          <t>Veladaz Residences</t>
        </is>
      </c>
      <c r="C22" s="9" t="n">
        <v>45218</v>
      </c>
      <c r="D22" s="10" t="n">
        <v>508</v>
      </c>
      <c r="E22" s="7" t="inlineStr">
        <is>
          <t>30357-1</t>
        </is>
      </c>
      <c r="F22" s="8" t="inlineStr">
        <is>
          <t>EXSIM BUKIT JALIL CITY SDN. BHD.</t>
        </is>
      </c>
      <c r="G22" s="11" t="n"/>
      <c r="H22" s="11" t="n">
        <v>507</v>
      </c>
      <c r="I22" s="12">
        <f>H22/$D$22</f>
        <v/>
      </c>
      <c r="J22" s="8" t="inlineStr"/>
    </row>
    <row r="23">
      <c r="A23" s="7" t="n">
        <v>19</v>
      </c>
      <c r="B23" s="8" t="inlineStr">
        <is>
          <t>Causewayz Square @ JBCC</t>
        </is>
      </c>
      <c r="C23" s="9" t="n">
        <v>45966</v>
      </c>
      <c r="D23" s="10" t="n">
        <v>3692</v>
      </c>
      <c r="E23" s="7" t="inlineStr">
        <is>
          <t>31100-1,31100-2,31100-3,31100-4</t>
        </is>
      </c>
      <c r="F23" s="8" t="inlineStr"/>
      <c r="G23" s="11" t="n"/>
      <c r="H23" s="11" t="n">
        <v>1498</v>
      </c>
      <c r="I23" s="12">
        <f>H23/$D$23</f>
        <v/>
      </c>
      <c r="J23" s="8" t="inlineStr">
        <is>
          <t>Latest sales - Block A: 493 units, Block B: 531 units, Block D: 473 units</t>
        </is>
      </c>
    </row>
    <row r="24">
      <c r="A24" s="7" t="n">
        <v>20</v>
      </c>
      <c r="B24" s="8" t="inlineStr">
        <is>
          <t>The Stallionz</t>
        </is>
      </c>
      <c r="C24" s="9" t="n">
        <v>45936</v>
      </c>
      <c r="D24" s="10" t="n">
        <v>424</v>
      </c>
      <c r="E24" s="7" t="inlineStr">
        <is>
          <t>30131-1</t>
        </is>
      </c>
      <c r="F24" s="8" t="inlineStr"/>
      <c r="G24" s="11" t="n"/>
      <c r="H24" s="11" t="n">
        <v>424</v>
      </c>
      <c r="I24" s="12">
        <f>H24/$D$24</f>
        <v/>
      </c>
      <c r="J24" s="8" t="inlineStr"/>
    </row>
  </sheetData>
  <mergeCells count="1">
    <mergeCell ref="G3:I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01/09/2026</t>
        </is>
      </c>
    </row>
    <row r="3">
      <c r="A3" s="3" t="inlineStr">
        <is>
          <t>WEEKLY TEDUH SALES REPORT (MAH SING)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14297-25,14297-28</t>
        </is>
      </c>
      <c r="F5" s="8" t="inlineStr">
        <is>
          <t>MERIDIN EAST SDN. BHD.</t>
        </is>
      </c>
      <c r="G5" s="11" t="n"/>
      <c r="H5" s="11" t="n">
        <v>158</v>
      </c>
      <c r="I5" s="12">
        <f>H5/$D$5</f>
        <v/>
      </c>
      <c r="J5" s="8" t="inlineStr"/>
    </row>
    <row r="6">
      <c r="A6" s="7" t="n">
        <v>2</v>
      </c>
      <c r="B6" s="8" t="inlineStr">
        <is>
          <t>Ferringhi Residence 2</t>
        </is>
      </c>
      <c r="C6" s="9" t="n">
        <v>44060</v>
      </c>
      <c r="D6" s="10" t="n">
        <v>478</v>
      </c>
      <c r="E6" s="7" t="inlineStr">
        <is>
          <t>12324-2</t>
        </is>
      </c>
      <c r="F6" s="8" t="inlineStr">
        <is>
          <t>UPTREND HOUSING DEVELOPMENT SDN. BHD.</t>
        </is>
      </c>
      <c r="G6" s="11" t="n"/>
      <c r="H6" s="11" t="n">
        <v>205</v>
      </c>
      <c r="I6" s="12">
        <f>H6/$D$6</f>
        <v/>
      </c>
      <c r="J6" s="8" t="inlineStr"/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1" t="n"/>
      <c r="H7" s="11" t="n">
        <v>144</v>
      </c>
      <c r="I7" s="12">
        <f>H7/$D$7</f>
        <v/>
      </c>
      <c r="J7" s="8" t="inlineStr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1" t="n"/>
      <c r="H8" s="11" t="n">
        <v>68</v>
      </c>
      <c r="I8" s="12">
        <f>H8/$D$8</f>
        <v/>
      </c>
      <c r="J8" s="8" t="inlineStr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1" t="n"/>
      <c r="H9" s="11" t="n">
        <v>48</v>
      </c>
      <c r="I9" s="12">
        <f>H9/$D$9</f>
        <v/>
      </c>
      <c r="J9" s="8" t="inlineStr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1" t="n"/>
      <c r="H10" s="11" t="n">
        <v>1012</v>
      </c>
      <c r="I10" s="12">
        <f>H10/$D$10</f>
        <v/>
      </c>
      <c r="J10" s="8" t="inlineStr">
        <is>
          <t>Latest sales - Block A: 460 units, Block B: 549 units</t>
        </is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1" t="n"/>
      <c r="H11" s="11" t="n">
        <v>357</v>
      </c>
      <c r="I11" s="12">
        <f>H11/$D$11</f>
        <v/>
      </c>
      <c r="J11" s="8" t="inlineStr">
        <is>
          <t>Latest sales - Block A: 51 units, Block B: 304 units</t>
        </is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1" t="n"/>
      <c r="H12" s="11" t="n">
        <v>795</v>
      </c>
      <c r="I12" s="12">
        <f>H12/$D$12</f>
        <v/>
      </c>
      <c r="J12" s="8" t="inlineStr"/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330</v>
      </c>
      <c r="E13" s="7" t="inlineStr">
        <is>
          <t>30897-1</t>
        </is>
      </c>
      <c r="F13" s="8" t="inlineStr">
        <is>
          <t>MESTIKA BISTARI SDN. BHD.</t>
        </is>
      </c>
      <c r="G13" s="11" t="n"/>
      <c r="H13" s="11" t="n">
        <v>314</v>
      </c>
      <c r="I13" s="12">
        <f>H13/$D$13</f>
        <v/>
      </c>
      <c r="J13" s="8" t="inlineStr"/>
    </row>
    <row r="14">
      <c r="A14" s="7" t="n">
        <v>10</v>
      </c>
      <c r="B14" s="8" t="inlineStr">
        <is>
          <t>M Nova</t>
        </is>
      </c>
      <c r="C14" s="9" t="n">
        <v>45574</v>
      </c>
      <c r="D14" s="10" t="n">
        <v>2080</v>
      </c>
      <c r="E14" s="7" t="inlineStr">
        <is>
          <t>11202-4,11202-5</t>
        </is>
      </c>
      <c r="F14" s="8" t="inlineStr">
        <is>
          <t>MYVILLA DEVELOPMENT SDN. BHD.</t>
        </is>
      </c>
      <c r="G14" s="11" t="n"/>
      <c r="H14" s="11" t="n">
        <v>1871</v>
      </c>
      <c r="I14" s="12">
        <f>H14/$D$14</f>
        <v/>
      </c>
      <c r="J14" s="8" t="inlineStr"/>
    </row>
    <row r="15">
      <c r="A15" s="7" t="n">
        <v>11</v>
      </c>
      <c r="B15" s="8" t="inlineStr">
        <is>
          <t>M Panora</t>
        </is>
      </c>
      <c r="C15" s="9" t="n">
        <v>45906</v>
      </c>
      <c r="D15" s="10" t="n">
        <v>396</v>
      </c>
      <c r="E15" s="7" t="inlineStr">
        <is>
          <t>11998-4,11998-5</t>
        </is>
      </c>
      <c r="F15" s="8" t="inlineStr">
        <is>
          <t>SEMAI MERANTI SDN. BHD.</t>
        </is>
      </c>
      <c r="G15" s="11" t="n"/>
      <c r="H15" s="11" t="n">
        <v>396</v>
      </c>
      <c r="I15" s="12">
        <f>H15/$D$15</f>
        <v/>
      </c>
      <c r="J15" s="8" t="inlineStr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13425-8,13425-9</t>
        </is>
      </c>
      <c r="F16" s="8" t="inlineStr">
        <is>
          <t>SOUTHVILLE CITY SDN. BHD.</t>
        </is>
      </c>
      <c r="G16" s="11" t="n"/>
      <c r="H16" s="11" t="n">
        <v>393</v>
      </c>
      <c r="I16" s="12">
        <f>H16/$D$16</f>
        <v/>
      </c>
      <c r="J16" s="8" t="inlineStr"/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1" t="n"/>
      <c r="H17" s="11" t="n">
        <v>578</v>
      </c>
      <c r="I17" s="12">
        <f>H17/$D$17</f>
        <v/>
      </c>
      <c r="J17" s="8" t="inlineStr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223</v>
      </c>
      <c r="E18" s="7" t="inlineStr">
        <is>
          <t>10279-5,10279-6,10279-7,10279-8</t>
        </is>
      </c>
      <c r="F18" s="8" t="inlineStr">
        <is>
          <t>VENICE VIEW DEVELOPMENT SDN. BHD.</t>
        </is>
      </c>
      <c r="G18" s="11" t="n"/>
      <c r="H18" s="11" t="n">
        <v>651</v>
      </c>
      <c r="I18" s="12">
        <f>H18/$D$18</f>
        <v/>
      </c>
      <c r="J18" s="8" t="inlineStr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1" t="n"/>
      <c r="H19" s="11" t="n">
        <v>228</v>
      </c>
      <c r="I19" s="12">
        <f>H19/$D$19</f>
        <v/>
      </c>
      <c r="J19" s="8" t="inlineStr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1" t="n"/>
      <c r="H20" s="11" t="n">
        <v>618</v>
      </c>
      <c r="I20" s="12">
        <f>H20/$D$20</f>
        <v/>
      </c>
      <c r="J20" s="8" t="inlineStr"/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9600-6,9600-7</t>
        </is>
      </c>
      <c r="F21" s="8" t="inlineStr"/>
      <c r="G21" s="11" t="n"/>
      <c r="H21" s="11" t="n">
        <v>759</v>
      </c>
      <c r="I21" s="12">
        <f>H21/$D$21</f>
        <v/>
      </c>
      <c r="J21" s="8" t="inlineStr">
        <is>
          <t>Latest sales - Block A: 499 units, Block B: 257 units</t>
        </is>
      </c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30440-1,30440-2,30440-3</t>
        </is>
      </c>
      <c r="F22" s="8" t="inlineStr"/>
      <c r="G22" s="11" t="n"/>
      <c r="H22" s="11" t="n">
        <v>1470</v>
      </c>
      <c r="I22" s="12">
        <f>H22/$D$22</f>
        <v/>
      </c>
      <c r="J22" s="8" t="inlineStr"/>
    </row>
  </sheetData>
  <mergeCells count="1">
    <mergeCell ref="G3:I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01/09/2026</t>
        </is>
      </c>
    </row>
    <row r="3">
      <c r="A3" s="3" t="inlineStr">
        <is>
          <t>WEEKLY TEDUH SALES REPORT (MAJESTIC GEN)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1" t="n"/>
      <c r="H5" s="11" t="n">
        <v>731</v>
      </c>
      <c r="I5" s="12">
        <f>H5/$D$5</f>
        <v/>
      </c>
      <c r="J5" s="8" t="inlineStr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1" t="n"/>
      <c r="H6" s="11" t="n">
        <v>908</v>
      </c>
      <c r="I6" s="12">
        <f>H6/$D$6</f>
        <v/>
      </c>
      <c r="J6" s="8" t="inlineStr">
        <is>
          <t>-</t>
        </is>
      </c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1" t="n"/>
      <c r="H7" s="11" t="n">
        <v>354</v>
      </c>
      <c r="I7" s="12">
        <f>H7/$D$7</f>
        <v/>
      </c>
      <c r="J7" s="8" t="inlineStr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1" t="n"/>
      <c r="H8" s="11" t="n">
        <v>478</v>
      </c>
      <c r="I8" s="12">
        <f>H8/$D$8</f>
        <v/>
      </c>
      <c r="J8" s="8" t="inlineStr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1" t="n"/>
      <c r="H9" s="11" t="n">
        <v>98</v>
      </c>
      <c r="I9" s="12">
        <f>H9/$D$9</f>
        <v/>
      </c>
      <c r="J9" s="8" t="inlineStr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1" t="n"/>
      <c r="H10" s="11" t="n">
        <v>390</v>
      </c>
      <c r="I10" s="12">
        <f>H10/$D$10</f>
        <v/>
      </c>
      <c r="J10" s="8" t="inlineStr">
        <is>
          <t>Latest sales - Block A: 297 units, Block B: 93 units</t>
        </is>
      </c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/>
      <c r="F11" s="8" t="inlineStr"/>
      <c r="G11" s="11" t="n"/>
      <c r="H11" s="11" t="n"/>
      <c r="I11" s="12" t="n"/>
      <c r="J11" s="8" t="inlineStr">
        <is>
          <t>Not launched yet.</t>
        </is>
      </c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1" t="n"/>
      <c r="H12" s="11" t="n">
        <v>73</v>
      </c>
      <c r="I12" s="12">
        <f>H12/$D$12</f>
        <v/>
      </c>
      <c r="J12" s="8" t="inlineStr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1" t="n"/>
      <c r="H13" s="11" t="n">
        <v>0</v>
      </c>
      <c r="I13" s="12">
        <f>H13/$D$13</f>
        <v/>
      </c>
      <c r="J13" s="8" t="inlineStr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/>
      <c r="F14" s="8" t="inlineStr"/>
      <c r="G14" s="11" t="n"/>
      <c r="H14" s="11" t="n"/>
      <c r="I14" s="12" t="n"/>
      <c r="J14" s="8" t="inlineStr">
        <is>
          <t>Not launched yet.</t>
        </is>
      </c>
    </row>
  </sheetData>
  <mergeCells count="1">
    <mergeCell ref="G3:I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01/09/2026</t>
        </is>
      </c>
    </row>
    <row r="3">
      <c r="A3" s="3" t="inlineStr">
        <is>
          <t>WEEKLY TEDUH SALES REPORT (MALTON)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1" t="n"/>
      <c r="H5" s="11" t="n">
        <v>349</v>
      </c>
      <c r="I5" s="12">
        <f>H5/$D$5</f>
        <v/>
      </c>
      <c r="J5" s="8" t="inlineStr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1" t="n"/>
      <c r="H6" s="11" t="n">
        <v>12</v>
      </c>
      <c r="I6" s="12">
        <f>H6/$D$6</f>
        <v/>
      </c>
      <c r="J6" s="8" t="inlineStr"/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1" t="n"/>
      <c r="H7" s="11" t="n">
        <v>392</v>
      </c>
      <c r="I7" s="12">
        <f>H7/$D$7</f>
        <v/>
      </c>
      <c r="J7" s="8" t="inlineStr"/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1" t="n"/>
      <c r="H8" s="11" t="n">
        <v>328</v>
      </c>
      <c r="I8" s="12">
        <f>H8/$D$8</f>
        <v/>
      </c>
      <c r="J8" s="8" t="inlineStr"/>
    </row>
    <row r="9">
      <c r="A9" s="7" t="n">
        <v>5</v>
      </c>
      <c r="B9" s="8" t="inlineStr">
        <is>
          <t>River Park Bangsar South</t>
        </is>
      </c>
      <c r="C9" s="9" t="n">
        <v>46078</v>
      </c>
      <c r="D9" s="10" t="n">
        <v>1332</v>
      </c>
      <c r="E9" s="7" t="inlineStr">
        <is>
          <t>14035-4,14035-5</t>
        </is>
      </c>
      <c r="F9" s="8" t="inlineStr"/>
      <c r="G9" s="11" t="n"/>
      <c r="H9" s="11" t="n">
        <v>978</v>
      </c>
      <c r="I9" s="12">
        <f>H9/$D$9</f>
        <v/>
      </c>
      <c r="J9" s="8" t="inlineStr"/>
    </row>
  </sheetData>
  <mergeCells count="1">
    <mergeCell ref="G3:I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01/09/2026</t>
        </is>
      </c>
    </row>
    <row r="3">
      <c r="A3" s="3" t="inlineStr">
        <is>
          <t>WEEKLY TEDUH SALES REPORT (MAXIM)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Residensi Max II</t>
        </is>
      </c>
      <c r="C5" s="9" t="n">
        <v>46199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1" t="n"/>
      <c r="H5" s="11" t="n">
        <v>604</v>
      </c>
      <c r="I5" s="12">
        <f>H5/$D$5</f>
        <v/>
      </c>
      <c r="J5" s="8" t="inlineStr"/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1" t="n"/>
      <c r="H6" s="11" t="n">
        <v>320</v>
      </c>
      <c r="I6" s="12">
        <f>H6/$D$6</f>
        <v/>
      </c>
      <c r="J6" s="8" t="inlineStr"/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1" t="n"/>
      <c r="H7" s="11" t="n">
        <v>1008</v>
      </c>
      <c r="I7" s="12">
        <f>H7/$D$7</f>
        <v/>
      </c>
      <c r="J7" s="8" t="inlineStr">
        <is>
          <t>Latest sales - Block A: 403 units, Block B: 369 units, Block C: 234 units</t>
        </is>
      </c>
    </row>
    <row r="8">
      <c r="A8" s="7" t="n">
        <v>4</v>
      </c>
      <c r="B8" s="8" t="inlineStr">
        <is>
          <t>Residensi Maxim Risen</t>
        </is>
      </c>
      <c r="C8" s="9" t="n">
        <v>46194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1" t="n"/>
      <c r="H8" s="11" t="n">
        <v>1236</v>
      </c>
      <c r="I8" s="12">
        <f>H8/$D$8</f>
        <v/>
      </c>
      <c r="J8" s="8" t="inlineStr"/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1" t="n"/>
      <c r="H9" s="11" t="n">
        <v>522</v>
      </c>
      <c r="I9" s="12">
        <f>H9/$D$9</f>
        <v/>
      </c>
      <c r="J9" s="8" t="inlineStr"/>
    </row>
  </sheetData>
  <mergeCells count="1">
    <mergeCell ref="G3:I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01/09/2026</t>
        </is>
      </c>
    </row>
    <row r="3">
      <c r="A3" s="3" t="inlineStr">
        <is>
          <t>WEEKLY TEDUH SALES REPORT (PLATINUM VICTORY)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1" t="n"/>
      <c r="H5" s="11" t="n">
        <v>1671</v>
      </c>
      <c r="I5" s="12">
        <f>H5/$D$5</f>
        <v/>
      </c>
      <c r="J5" s="8" t="inlineStr"/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1" t="n"/>
      <c r="H6" s="11" t="n">
        <v>1202</v>
      </c>
      <c r="I6" s="12">
        <f>H6/$D$6</f>
        <v/>
      </c>
      <c r="J6" s="8" t="inlineStr"/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1" t="n"/>
      <c r="H7" s="11" t="n">
        <v>522</v>
      </c>
      <c r="I7" s="12">
        <f>H7/$D$7</f>
        <v/>
      </c>
      <c r="J7" s="8" t="inlineStr"/>
    </row>
    <row r="8">
      <c r="A8" s="7" t="n">
        <v>4</v>
      </c>
      <c r="B8" s="8" t="inlineStr">
        <is>
          <t>PSV1 Residences</t>
        </is>
      </c>
      <c r="C8" s="9" t="n">
        <v>45965</v>
      </c>
      <c r="D8" s="10" t="n">
        <v>500</v>
      </c>
      <c r="E8" s="7" t="inlineStr">
        <is>
          <t>20253-2</t>
        </is>
      </c>
      <c r="F8" s="8" t="inlineStr"/>
      <c r="G8" s="11" t="n"/>
      <c r="H8" s="11" t="n">
        <v>467</v>
      </c>
      <c r="I8" s="12">
        <f>H8/$D$8</f>
        <v/>
      </c>
      <c r="J8" s="8" t="inlineStr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1" t="n"/>
      <c r="H9" s="11" t="n">
        <v>1160</v>
      </c>
      <c r="I9" s="12">
        <f>H9/$D$9</f>
        <v/>
      </c>
      <c r="J9" s="8" t="inlineStr">
        <is>
          <t>Latest sales - Block W: 598 units, Block X: 559 units</t>
        </is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1" t="n"/>
      <c r="H10" s="11" t="n">
        <v>18</v>
      </c>
      <c r="I10" s="12">
        <f>H10/$D$10</f>
        <v/>
      </c>
      <c r="J10" s="8" t="inlineStr"/>
    </row>
  </sheetData>
  <mergeCells count="1">
    <mergeCell ref="G3:I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01/09/2026</t>
        </is>
      </c>
    </row>
    <row r="3">
      <c r="A3" s="3" t="inlineStr">
        <is>
          <t>WEEKLY TEDUH SALES REPORT (SKYWORLD)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1" t="n"/>
      <c r="H5" s="11" t="n">
        <v>457</v>
      </c>
      <c r="I5" s="12">
        <f>H5/$D$5</f>
        <v/>
      </c>
      <c r="J5" s="8" t="inlineStr"/>
    </row>
    <row r="6">
      <c r="A6" s="7" t="n">
        <v>2</v>
      </c>
      <c r="B6" s="8" t="inlineStr">
        <is>
          <t>Curvo Residences</t>
        </is>
      </c>
      <c r="C6" s="9" t="n">
        <v>46033</v>
      </c>
      <c r="D6" s="10" t="n">
        <v>830</v>
      </c>
      <c r="E6" s="7" t="inlineStr">
        <is>
          <t>30176-1</t>
        </is>
      </c>
      <c r="F6" s="8" t="inlineStr"/>
      <c r="G6" s="11" t="n"/>
      <c r="H6" s="11" t="n">
        <v>656</v>
      </c>
      <c r="I6" s="12">
        <f>H6/$D$6</f>
        <v/>
      </c>
      <c r="J6" s="8" t="inlineStr"/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1" t="n"/>
      <c r="H7" s="11" t="n">
        <v>240</v>
      </c>
      <c r="I7" s="12">
        <f>H7/$D$7</f>
        <v/>
      </c>
      <c r="J7" s="8" t="inlineStr"/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0</v>
      </c>
      <c r="E8" s="7" t="inlineStr">
        <is>
          <t>31075-1,31075-2</t>
        </is>
      </c>
      <c r="F8" s="8" t="inlineStr"/>
      <c r="G8" s="11" t="n"/>
      <c r="H8" s="11" t="n">
        <v>1345</v>
      </c>
      <c r="I8" s="12">
        <f>H8/$D$8</f>
        <v/>
      </c>
      <c r="J8" s="8" t="inlineStr"/>
    </row>
    <row r="9">
      <c r="A9" s="7" t="n">
        <v>5</v>
      </c>
      <c r="B9" s="8" t="inlineStr">
        <is>
          <t>Vesta Residences</t>
        </is>
      </c>
      <c r="C9" s="9" t="n">
        <v>46220</v>
      </c>
      <c r="D9" s="10" t="n">
        <v>1001</v>
      </c>
      <c r="E9" s="7" t="inlineStr">
        <is>
          <t>19840-2</t>
        </is>
      </c>
      <c r="F9" s="8" t="inlineStr"/>
      <c r="G9" s="11" t="n"/>
      <c r="H9" s="11" t="n">
        <v>931</v>
      </c>
      <c r="I9" s="12">
        <f>H9/$D$9</f>
        <v/>
      </c>
      <c r="J9" s="8" t="inlineStr"/>
    </row>
  </sheetData>
  <mergeCells count="1">
    <mergeCell ref="G3:I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01/09/2026</t>
        </is>
      </c>
    </row>
    <row r="3">
      <c r="A3" s="3" t="inlineStr">
        <is>
          <t>WEEKLY TEDUH SALES REPORT (TRINITY GROUP)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1" t="n"/>
      <c r="H5" s="11" t="n">
        <v>36</v>
      </c>
      <c r="I5" s="12">
        <f>H5/$D$5</f>
        <v/>
      </c>
      <c r="J5" s="8" t="inlineStr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1" t="n"/>
      <c r="H6" s="11" t="n">
        <v>347</v>
      </c>
      <c r="I6" s="12">
        <f>H6/$D$6</f>
        <v/>
      </c>
      <c r="J6" s="8" t="inlineStr">
        <is>
          <t>Latest sales - Block A1: 45 units, Block A2: 202 units, Block B: 100 units</t>
        </is>
      </c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/>
      <c r="F7" s="8" t="inlineStr"/>
      <c r="G7" s="11" t="n"/>
      <c r="H7" s="11" t="n"/>
      <c r="I7" s="12" t="n"/>
      <c r="J7" s="8" t="inlineStr">
        <is>
          <t>Not launched yet.</t>
        </is>
      </c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/>
      <c r="F8" s="8" t="inlineStr"/>
      <c r="G8" s="11" t="n"/>
      <c r="H8" s="11" t="n"/>
      <c r="I8" s="12" t="n"/>
      <c r="J8" s="8" t="inlineStr">
        <is>
          <t>Not launched yet.</t>
        </is>
      </c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/>
      <c r="F9" s="8" t="inlineStr"/>
      <c r="G9" s="11" t="n"/>
      <c r="H9" s="11" t="n"/>
      <c r="I9" s="12" t="n"/>
      <c r="J9" s="8" t="inlineStr">
        <is>
          <t>Not launched yet.</t>
        </is>
      </c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/>
      <c r="F10" s="8" t="inlineStr"/>
      <c r="G10" s="11" t="n"/>
      <c r="H10" s="11" t="n"/>
      <c r="I10" s="12" t="n"/>
      <c r="J10" s="8" t="inlineStr">
        <is>
          <t>Not launched yet.</t>
        </is>
      </c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/>
      <c r="F11" s="8" t="inlineStr"/>
      <c r="G11" s="11" t="n"/>
      <c r="H11" s="11" t="n"/>
      <c r="I11" s="12" t="n"/>
      <c r="J11" s="8" t="inlineStr">
        <is>
          <t>Not launched yet.</t>
        </is>
      </c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/>
      <c r="F12" s="8" t="inlineStr"/>
      <c r="G12" s="11" t="n"/>
      <c r="H12" s="11" t="n"/>
      <c r="I12" s="12" t="n"/>
      <c r="J12" s="8" t="inlineStr">
        <is>
          <t>Not launched yet.</t>
        </is>
      </c>
    </row>
    <row r="13">
      <c r="A13" s="7" t="n">
        <v>9</v>
      </c>
      <c r="B13" s="8" t="inlineStr">
        <is>
          <t>Trinity Rainfora</t>
        </is>
      </c>
      <c r="C13" s="9" t="n">
        <v>46165</v>
      </c>
      <c r="D13" s="10" t="n">
        <v>535</v>
      </c>
      <c r="E13" s="7" t="inlineStr">
        <is>
          <t>10826-4</t>
        </is>
      </c>
      <c r="F13" s="8" t="inlineStr"/>
      <c r="G13" s="11" t="n"/>
      <c r="H13" s="11" t="n">
        <v>330</v>
      </c>
      <c r="I13" s="12">
        <f>H13/$D$13</f>
        <v/>
      </c>
      <c r="J13" s="8" t="inlineStr"/>
    </row>
  </sheetData>
  <mergeCells count="1">
    <mergeCell ref="G3:I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12" customWidth="1" min="5" max="5"/>
    <col width="26" customWidth="1" min="6" max="6"/>
    <col width="9" customWidth="1" min="7" max="7"/>
    <col width="9" customWidth="1" min="8" max="8"/>
    <col width="9" customWidth="1" min="9" max="9"/>
    <col width="46" customWidth="1" min="10" max="10"/>
  </cols>
  <sheetData>
    <row r="1">
      <c r="A1" s="1" t="inlineStr">
        <is>
          <t>New tracker: the single column below is today's reading standing in for a weekly record, so it has no NEW SALES figure yet.</t>
        </is>
      </c>
    </row>
    <row r="2">
      <c r="A2" s="2" t="inlineStr">
        <is>
          <t>Report as at 01/09/2026</t>
        </is>
      </c>
    </row>
    <row r="3">
      <c r="A3" s="3" t="inlineStr">
        <is>
          <t>WEEKLY TEDUH SALES REPORT (TS LAW)</t>
        </is>
      </c>
      <c r="G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TOTAL %</t>
        </is>
      </c>
      <c r="J4" s="5" t="inlineStr">
        <is>
          <t>NOTES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1" t="n"/>
      <c r="H5" s="11" t="n">
        <v>1397</v>
      </c>
      <c r="I5" s="12">
        <f>H5/$D$5</f>
        <v/>
      </c>
      <c r="J5" s="8" t="inlineStr">
        <is>
          <t>Latest sales - Block A: 728 units, Block B: 668 units</t>
        </is>
      </c>
    </row>
    <row r="6">
      <c r="A6" s="7" t="n">
        <v>2</v>
      </c>
      <c r="B6" s="8" t="inlineStr">
        <is>
          <t>Skyline Kuchai</t>
        </is>
      </c>
      <c r="C6" s="9" t="n">
        <v>46035</v>
      </c>
      <c r="D6" s="10" t="n">
        <v>1838</v>
      </c>
      <c r="E6" s="7" t="inlineStr">
        <is>
          <t>30331-1,30331-2</t>
        </is>
      </c>
      <c r="F6" s="8" t="inlineStr">
        <is>
          <t>L &amp; T REALTY SDN. BHD.</t>
        </is>
      </c>
      <c r="G6" s="11" t="n"/>
      <c r="H6" s="11" t="n">
        <v>1825</v>
      </c>
      <c r="I6" s="12">
        <f>H6/$D$6</f>
        <v/>
      </c>
      <c r="J6" s="8" t="inlineStr"/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/>
      <c r="F7" s="8" t="inlineStr"/>
      <c r="G7" s="11" t="n"/>
      <c r="H7" s="11" t="n"/>
      <c r="I7" s="12" t="n"/>
      <c r="J7" s="8" t="inlineStr">
        <is>
          <t>Not launched yet.</t>
        </is>
      </c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1" t="n"/>
      <c r="H8" s="11" t="n">
        <v>42</v>
      </c>
      <c r="I8" s="12">
        <f>H8/$D$8</f>
        <v/>
      </c>
      <c r="J8" s="8" t="inlineStr"/>
    </row>
    <row r="9">
      <c r="A9" s="7" t="n">
        <v>5</v>
      </c>
      <c r="B9" s="8" t="inlineStr">
        <is>
          <t>Skyline Embassy</t>
        </is>
      </c>
      <c r="C9" s="9" t="n">
        <v>45565</v>
      </c>
      <c r="D9" s="10" t="n">
        <v>1296</v>
      </c>
      <c r="E9" s="7" t="inlineStr">
        <is>
          <t>19760-1,19760-2</t>
        </is>
      </c>
      <c r="F9" s="8" t="inlineStr"/>
      <c r="G9" s="11" t="n"/>
      <c r="H9" s="11" t="n">
        <v>1286</v>
      </c>
      <c r="I9" s="12">
        <f>H9/$D$9</f>
        <v/>
      </c>
      <c r="J9" s="8" t="inlineStr"/>
    </row>
  </sheetData>
  <mergeCells count="1">
    <mergeCell ref="G3:I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2026-09-01T06:27:18Z</dcterms:created>
  <dcterms:modified xsi:type="dcterms:W3CDTF">2026-09-01T06:27:18Z</dcterms:modified>
</cp:coreProperties>
</file>